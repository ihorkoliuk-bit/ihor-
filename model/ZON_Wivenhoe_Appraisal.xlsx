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рівняння" sheetId="1" state="visible" r:id="rId3"/>
    <sheet name="Покращений випадок" sheetId="2" state="visible" r:id="rId4"/>
    <sheet name="Припущення" sheetId="3" state="visible" r:id="rId5"/>
    <sheet name="Сценарій A" sheetId="4" state="visible" r:id="rId6"/>
    <sheet name="Сценарій B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<sst xmlns="http://schemas.openxmlformats.org/spreadsheetml/2006/main" count="336" uniqueCount="234">
  <si>
    <t xml:space="preserve">ZON Wivenhoe — порівняння сценаріїв</t>
  </si>
  <si>
    <t xml:space="preserve">Усі показники рахуються з аркушів сценаріїв. Ціни, вартість будівництва і земля — ПРИПУЩЕННЯ (див. «Припущення»), а не підтверджені дані.</t>
  </si>
  <si>
    <t xml:space="preserve">Показник</t>
  </si>
  <si>
    <t xml:space="preserve">A: 25 бунгало (RM)</t>
  </si>
  <si>
    <t xml:space="preserve">B: бриф 25 + Hub</t>
  </si>
  <si>
    <t xml:space="preserve">Різниця B − A</t>
  </si>
  <si>
    <t xml:space="preserve">Житлових юнітів</t>
  </si>
  <si>
    <t xml:space="preserve">Баланс території, м²</t>
  </si>
  <si>
    <t xml:space="preserve">Перевірка території</t>
  </si>
  <si>
    <t xml:space="preserve">Середня ділянка, м²</t>
  </si>
  <si>
    <t xml:space="preserve">Доступних юнітів</t>
  </si>
  <si>
    <t xml:space="preserve">GDV</t>
  </si>
  <si>
    <t xml:space="preserve">TDC</t>
  </si>
  <si>
    <t xml:space="preserve">Прибуток</t>
  </si>
  <si>
    <t xml:space="preserve">Маржа на GDV</t>
  </si>
  <si>
    <t xml:space="preserve">Проти цілі</t>
  </si>
  <si>
    <t xml:space="preserve">Макс. ціна землі (RLV)</t>
  </si>
  <si>
    <t xml:space="preserve">Потрібна зміна цін для цілі</t>
  </si>
  <si>
    <t xml:space="preserve">Ймовірність дозволу</t>
  </si>
  <si>
    <t xml:space="preserve">Прибуток з поправкою на ризик</t>
  </si>
  <si>
    <t xml:space="preserve">Чутливість прибутку — Сценарій A (фінансування — константа)</t>
  </si>
  <si>
    <t xml:space="preserve">Ціна продажу ↓ / Вартість будівництва →</t>
  </si>
  <si>
    <t xml:space="preserve">Чутливість прибутку — Сценарій B (фінансування — константа)</t>
  </si>
  <si>
    <t xml:space="preserve">Improved Case — важелі поверх сценарію A (25 бунгало)</t>
  </si>
  <si>
    <t xml:space="preserve">Кожен важіль рахується окремо від бази сценарію A. Сині клітинки — припущення важелів (з запропонованої стратегії), жовті — ті, що найбільше впливають і потребують підтвердження.</t>
  </si>
  <si>
    <t xml:space="preserve">База: сценарій A</t>
  </si>
  <si>
    <t xml:space="preserve">GDV бази</t>
  </si>
  <si>
    <t xml:space="preserve">Прибуток бази</t>
  </si>
  <si>
    <t xml:space="preserve">Маржа бази</t>
  </si>
  <si>
    <t xml:space="preserve">1. ZON Hub — продаж за капіталізованою вартістю (без апартаментів)</t>
  </si>
  <si>
    <t xml:space="preserve">Чистий річний дохід Hub</t>
  </si>
  <si>
    <t xml:space="preserve">стратегія: £25–30k; потрібен договір з оператором</t>
  </si>
  <si>
    <t xml:space="preserve">Ставка капіталізації</t>
  </si>
  <si>
    <t xml:space="preserve">стратегія: 7%; для кав'ярні реалістичніше 8–10%</t>
  </si>
  <si>
    <t xml:space="preserve">Повна вартість Hub (будівля + fit-out)</t>
  </si>
  <si>
    <t xml:space="preserve">стратегія: £390k ≈ £2 230/м² на 175 м² — перевірити QS</t>
  </si>
  <si>
    <t xml:space="preserve">Капіталізована вартість</t>
  </si>
  <si>
    <t xml:space="preserve">Приріст прибутку від Hub</t>
  </si>
  <si>
    <t xml:space="preserve">у сценарії A Hub не закладено, тож віднімаємо і його вартість</t>
  </si>
  <si>
    <t xml:space="preserve">2. Пакети ZON Ready</t>
  </si>
  <si>
    <t xml:space="preserve">Ринкових юнітів (без доступного житла)</t>
  </si>
  <si>
    <t xml:space="preserve">RSL не купує апгрейди</t>
  </si>
  <si>
    <t xml:space="preserve">Частка покупців, що беруть пакет</t>
  </si>
  <si>
    <t xml:space="preserve">стратегія припускала 100% на 25 юнітів</t>
  </si>
  <si>
    <t xml:space="preserve">Ціна пакета</t>
  </si>
  <si>
    <t xml:space="preserve">стратегія</t>
  </si>
  <si>
    <t xml:space="preserve">Собівартість пакета</t>
  </si>
  <si>
    <t xml:space="preserve">Пакетів продано</t>
  </si>
  <si>
    <t xml:space="preserve">Додаткова виручка</t>
  </si>
  <si>
    <t xml:space="preserve">Приріст прибутку від пакетів</t>
  </si>
  <si>
    <t xml:space="preserve">3. Value engineering</t>
  </si>
  <si>
    <t xml:space="preserve">Економія на будівельних витратах</t>
  </si>
  <si>
    <t xml:space="preserve">стратегія: 3–5%; підтверджує QS</t>
  </si>
  <si>
    <t xml:space="preserve">Приріст прибутку</t>
  </si>
  <si>
    <t xml:space="preserve">4. Переговори про ціну землі</t>
  </si>
  <si>
    <t xml:space="preserve">Знижка на землю</t>
  </si>
  <si>
    <t xml:space="preserve">стратегія: £100–180k</t>
  </si>
  <si>
    <t xml:space="preserve">Приріст прибутку (з SDLT і фінансуванням землі)</t>
  </si>
  <si>
    <t xml:space="preserve">5. Зниження витрат на продаж</t>
  </si>
  <si>
    <t xml:space="preserve">Зниження статті «маркетинг і агенти»</t>
  </si>
  <si>
    <t xml:space="preserve">стратегія: £50–70k</t>
  </si>
  <si>
    <t xml:space="preserve">6. Траншеве залучення equity (довідково, НЕ в сумі)</t>
  </si>
  <si>
    <t xml:space="preserve">Equity разом</t>
  </si>
  <si>
    <t xml:space="preserve">Priority return</t>
  </si>
  <si>
    <t xml:space="preserve">Перший транш</t>
  </si>
  <si>
    <t xml:space="preserve">Строк, місяців</t>
  </si>
  <si>
    <t xml:space="preserve">Строк другого траншу, місяців</t>
  </si>
  <si>
    <t xml:space="preserve">Return при внесенні всього одразу</t>
  </si>
  <si>
    <t xml:space="preserve">Return при траншах</t>
  </si>
  <si>
    <t xml:space="preserve">Економія</t>
  </si>
  <si>
    <t xml:space="preserve">база моделі фінансується боргом 9%, а не equity 12% — тому не додаємо до суми</t>
  </si>
  <si>
    <t xml:space="preserve">Результат Improved Case</t>
  </si>
  <si>
    <t xml:space="preserve">Сума важелів 1–5</t>
  </si>
  <si>
    <t xml:space="preserve">Прибуток Improved Case</t>
  </si>
  <si>
    <t xml:space="preserve">GDV Improved Case</t>
  </si>
  <si>
    <t xml:space="preserve">Скільки ще бракує до цільової маржі</t>
  </si>
  <si>
    <t xml:space="preserve">ZON Wivenhoe (Croquet Gardens) — припущення моделі</t>
  </si>
  <si>
    <t xml:space="preserve">Легенда: синій текст = вхідні дані (можна змінювати); чорний = формули; зелений = посилання на інший аркуш; жовта заливка = ключове припущення, яке треба замінити реальними даними перед показом інвесторам.</t>
  </si>
  <si>
    <t xml:space="preserve">Тип юніта</t>
  </si>
  <si>
    <t xml:space="preserve">GIA, м²</t>
  </si>
  <si>
    <t xml:space="preserve">Спальні</t>
  </si>
  <si>
    <t xml:space="preserve">Мешканців</t>
  </si>
  <si>
    <t xml:space="preserve">Поверхів</t>
  </si>
  <si>
    <t xml:space="preserve">NDSS мін., м²</t>
  </si>
  <si>
    <t xml:space="preserve">NDSS ок?</t>
  </si>
  <si>
    <t xml:space="preserve">Ціна продажу, £/м²</t>
  </si>
  <si>
    <t xml:space="preserve">Ціна юніта, £</t>
  </si>
  <si>
    <t xml:space="preserve">Ділянка (сад+будинок), м²</t>
  </si>
  <si>
    <t xml:space="preserve">Джерело / примітка</t>
  </si>
  <si>
    <t xml:space="preserve">Lake House Compact 61</t>
  </si>
  <si>
    <t xml:space="preserve">GIA з брифу. NDSS 2b3p 1 пов. = 61 м² (не проходить як 2b4p = 70). Ціна — припущення.</t>
  </si>
  <si>
    <t xml:space="preserve">Meadow 71</t>
  </si>
  <si>
    <t xml:space="preserve">GIA з брифу. NDSS 2b4p 1 пов. = 70 м². Юніт для доступного житла S106. Ціна — припущення.</t>
  </si>
  <si>
    <t xml:space="preserve">Country 140</t>
  </si>
  <si>
    <t xml:space="preserve">GIA з брифу. NDSS 3b6p 1 пов. = 95 м². Ціна — припущення.</t>
  </si>
  <si>
    <t xml:space="preserve">Ціни £/м² — ринкове припущення (~£430–455/фут²) для нових бунгало в CO7. Треба підтвердити звітом агента (Savills / Fenn Wright / Beresfords).</t>
  </si>
  <si>
    <t xml:space="preserve">Ділянка та планування</t>
  </si>
  <si>
    <t xml:space="preserve">Площа ділянки</t>
  </si>
  <si>
    <t xml:space="preserve">м²</t>
  </si>
  <si>
    <t xml:space="preserve">Від користувача: 3,52 акра</t>
  </si>
  <si>
    <t xml:space="preserve">Дороги, тротуари, паркування</t>
  </si>
  <si>
    <t xml:space="preserve">% ділянки</t>
  </si>
  <si>
    <t xml:space="preserve">Припущення: петля Manual for Streets + гостьові місця</t>
  </si>
  <si>
    <t xml:space="preserve">SuDS-струмок, ставок, відкритий простір</t>
  </si>
  <si>
    <t xml:space="preserve">Припущення; уточнює інженер з дренажу</t>
  </si>
  <si>
    <t xml:space="preserve">BNG / ландшафтні буфери на ділянці</t>
  </si>
  <si>
    <t xml:space="preserve">Припущення; уточнює еколог (метрика DEFRA)</t>
  </si>
  <si>
    <t xml:space="preserve">Hub: забудова + тераса + паркування</t>
  </si>
  <si>
    <t xml:space="preserve">Припущення: 175 м² пляма + тераса + ~10 місць</t>
  </si>
  <si>
    <t xml:space="preserve">Доступне житло (S106)</t>
  </si>
  <si>
    <t xml:space="preserve">Частка доступного житла</t>
  </si>
  <si>
    <t xml:space="preserve">% юнітів</t>
  </si>
  <si>
    <t xml:space="preserve">Припущення за політикою Colchester; перевірити в угоді S106</t>
  </si>
  <si>
    <t xml:space="preserve">Ціна продажу RSL</t>
  </si>
  <si>
    <t xml:space="preserve">% ринкової</t>
  </si>
  <si>
    <t xml:space="preserve">Припущення: мікс affordable rent + shared ownership</t>
  </si>
  <si>
    <t xml:space="preserve">Вартість будівництва</t>
  </si>
  <si>
    <t xml:space="preserve">Будівництво бунгало</t>
  </si>
  <si>
    <t xml:space="preserve">£/м² GIA</t>
  </si>
  <si>
    <t xml:space="preserve">Припущення, діапазон £2 100–2 800: високий клас, ASHP + PV + MVHR</t>
  </si>
  <si>
    <t xml:space="preserve">Будівництво ZON Hub</t>
  </si>
  <si>
    <t xml:space="preserve">Припущення: змішане використання, комерційне обладнання</t>
  </si>
  <si>
    <t xml:space="preserve">Зовнішні роботи та мережі</t>
  </si>
  <si>
    <t xml:space="preserve">% будівництва</t>
  </si>
  <si>
    <t xml:space="preserve">Припущення: дороги, SuDS, містки, мережі, підстанція</t>
  </si>
  <si>
    <t xml:space="preserve">Резерв на непередбачене</t>
  </si>
  <si>
    <t xml:space="preserve">% буд.+зовн.</t>
  </si>
  <si>
    <t xml:space="preserve">Припущення</t>
  </si>
  <si>
    <t xml:space="preserve">Проєктування та консультанти</t>
  </si>
  <si>
    <t xml:space="preserve">Внески S106 / інфраструктура</t>
  </si>
  <si>
    <t xml:space="preserve">£/юніт</t>
  </si>
  <si>
    <t xml:space="preserve">Припущення; уточнити з угоди S106</t>
  </si>
  <si>
    <t xml:space="preserve">Essex Coast RAMS</t>
  </si>
  <si>
    <t xml:space="preserve">Приблизний тариф; перевірити поточну ставку</t>
  </si>
  <si>
    <t xml:space="preserve">BNG за межами ділянки (кредити)</t>
  </si>
  <si>
    <t xml:space="preserve">£ разом</t>
  </si>
  <si>
    <t xml:space="preserve">Продаж і фінансування</t>
  </si>
  <si>
    <t xml:space="preserve">Маркетинг і агенти</t>
  </si>
  <si>
    <t xml:space="preserve">% GDV</t>
  </si>
  <si>
    <t xml:space="preserve">Юридичні витрати на продаж</t>
  </si>
  <si>
    <t xml:space="preserve">Ставка девелоперського кредиту</t>
  </si>
  <si>
    <t xml:space="preserve">% річних</t>
  </si>
  <si>
    <t xml:space="preserve">Середня вибірка кредиту</t>
  </si>
  <si>
    <t xml:space="preserve">% витрат</t>
  </si>
  <si>
    <t xml:space="preserve">Стандартне спрощення S-кривої</t>
  </si>
  <si>
    <t xml:space="preserve">Програма: будівництво + продаж</t>
  </si>
  <si>
    <t xml:space="preserve">місяців</t>
  </si>
  <si>
    <t xml:space="preserve">Земля і ціль</t>
  </si>
  <si>
    <t xml:space="preserve">Ціна землі</t>
  </si>
  <si>
    <t xml:space="preserve">£</t>
  </si>
  <si>
    <t xml:space="preserve">ЗАГЛУШКА — замінити фактичною ціною / ціною опціону</t>
  </si>
  <si>
    <t xml:space="preserve">SDLT + юридичні на землю</t>
  </si>
  <si>
    <t xml:space="preserve">% ціни землі</t>
  </si>
  <si>
    <t xml:space="preserve">Припущення (ставки для нежитлової нерухомості)</t>
  </si>
  <si>
    <t xml:space="preserve">Цільова маржа девелопера</t>
  </si>
  <si>
    <t xml:space="preserve">Типовий орієнтир кредиторів 17–20%</t>
  </si>
  <si>
    <t xml:space="preserve">ZON Hub (лише сценарій B)</t>
  </si>
  <si>
    <t xml:space="preserve">Hub GIA разом</t>
  </si>
  <si>
    <t xml:space="preserve">Бриф: 175 + 175 м²</t>
  </si>
  <si>
    <t xml:space="preserve">Кав'ярня / коворкінг GIA</t>
  </si>
  <si>
    <t xml:space="preserve">Бриф</t>
  </si>
  <si>
    <t xml:space="preserve">Оренда кав'ярні</t>
  </si>
  <si>
    <t xml:space="preserve">£/м²/рік</t>
  </si>
  <si>
    <t xml:space="preserve">Припущення для невеликої локації</t>
  </si>
  <si>
    <t xml:space="preserve">Дохідність при оцінці кав'ярні</t>
  </si>
  <si>
    <t xml:space="preserve">%</t>
  </si>
  <si>
    <t xml:space="preserve">Припущення (вторинна роздрібна торгівля)</t>
  </si>
  <si>
    <t xml:space="preserve">Бутік-апартаменти</t>
  </si>
  <si>
    <t xml:space="preserve">шт.</t>
  </si>
  <si>
    <t xml:space="preserve">Вартість апартамента (продаж)</t>
  </si>
  <si>
    <t xml:space="preserve">£/шт.</t>
  </si>
  <si>
    <t xml:space="preserve">Сценарій A — 25 бунгало в межах outline consent</t>
  </si>
  <si>
    <t xml:space="preserve">Шлях: Reserved Matters. Без Hub. Відповідає ліміту 25 юнітів (за словами користувача).</t>
  </si>
  <si>
    <t xml:space="preserve">К-сть</t>
  </si>
  <si>
    <t xml:space="preserve">GIA разом, м²</t>
  </si>
  <si>
    <t xml:space="preserve">GDV ринковий, £</t>
  </si>
  <si>
    <t xml:space="preserve">Ділянки, м²</t>
  </si>
  <si>
    <t xml:space="preserve">Разом бунгало</t>
  </si>
  <si>
    <t xml:space="preserve">Параметри сценарію</t>
  </si>
  <si>
    <t xml:space="preserve">ZON Hub включено (1 = так, 0 = ні)</t>
  </si>
  <si>
    <t xml:space="preserve">Ймовірність отримати дозвіл</t>
  </si>
  <si>
    <t xml:space="preserve">Експертна оцінка, не факт</t>
  </si>
  <si>
    <t xml:space="preserve">Додаткова затримка на планування</t>
  </si>
  <si>
    <t xml:space="preserve">місяців; фінансування землі тим часом</t>
  </si>
  <si>
    <t xml:space="preserve">Витрати, якщо в дозволі відмовлять</t>
  </si>
  <si>
    <t xml:space="preserve">консультанти, звіти, апеляція</t>
  </si>
  <si>
    <t xml:space="preserve">Житлових юнітів разом</t>
  </si>
  <si>
    <t xml:space="preserve">бунгало + апартаменти Hub</t>
  </si>
  <si>
    <t xml:space="preserve">Баланс території</t>
  </si>
  <si>
    <t xml:space="preserve">Приватні ділянки</t>
  </si>
  <si>
    <t xml:space="preserve">Дороги та паркування</t>
  </si>
  <si>
    <t xml:space="preserve">SuDS / відкритий простір</t>
  </si>
  <si>
    <t xml:space="preserve">BNG / буфери</t>
  </si>
  <si>
    <t xml:space="preserve">ZON Hub</t>
  </si>
  <si>
    <t xml:space="preserve">Потрібно разом, м²</t>
  </si>
  <si>
    <t xml:space="preserve">Доступно, м²</t>
  </si>
  <si>
    <t xml:space="preserve">Запас (+) / дефіцит (−), м²</t>
  </si>
  <si>
    <t xml:space="preserve">Перевірка</t>
  </si>
  <si>
    <t xml:space="preserve">Виручка (GDV)</t>
  </si>
  <si>
    <t xml:space="preserve">Бунгало за ринковою ціною</t>
  </si>
  <si>
    <t xml:space="preserve">Юнітів доступного житла (вимога)</t>
  </si>
  <si>
    <t xml:space="preserve">округлення вгору від усіх житлових юнітів</t>
  </si>
  <si>
    <t xml:space="preserve">…з них покривається Meadow 71</t>
  </si>
  <si>
    <t xml:space="preserve">Перевірка покриття</t>
  </si>
  <si>
    <t xml:space="preserve">Знижка на доступне житло</t>
  </si>
  <si>
    <t xml:space="preserve">усі доступні юніти рахуються за ціною Meadow</t>
  </si>
  <si>
    <t xml:space="preserve">ZON Hub: кав'ярня (капіталізація)</t>
  </si>
  <si>
    <t xml:space="preserve">ZON Hub: апартаменти</t>
  </si>
  <si>
    <t xml:space="preserve">GDV разом</t>
  </si>
  <si>
    <t xml:space="preserve">Витрати (TDC)</t>
  </si>
  <si>
    <t xml:space="preserve">Будівництво Hub</t>
  </si>
  <si>
    <t xml:space="preserve">Резерв</t>
  </si>
  <si>
    <t xml:space="preserve">S106</t>
  </si>
  <si>
    <t xml:space="preserve">RAMS</t>
  </si>
  <si>
    <t xml:space="preserve">BNG поза ділянкою</t>
  </si>
  <si>
    <t xml:space="preserve">Юридичні на продаж</t>
  </si>
  <si>
    <t xml:space="preserve">Земля</t>
  </si>
  <si>
    <t xml:space="preserve">Фінансування</t>
  </si>
  <si>
    <t xml:space="preserve">будівництво: середня вибірка; земля: весь строк + затримка</t>
  </si>
  <si>
    <t xml:space="preserve">TDC разом</t>
  </si>
  <si>
    <t xml:space="preserve">Результат</t>
  </si>
  <si>
    <t xml:space="preserve">Прибуток девелопера</t>
  </si>
  <si>
    <t xml:space="preserve">Маржа на витрати</t>
  </si>
  <si>
    <t xml:space="preserve">Проти цільової маржі</t>
  </si>
  <si>
    <t xml:space="preserve">Залишкова вартість землі при цільовій маржі</t>
  </si>
  <si>
    <t xml:space="preserve">скільки максимум можна заплатити за землю</t>
  </si>
  <si>
    <t xml:space="preserve">Прибуток з поправкою на ризик планування</t>
  </si>
  <si>
    <t xml:space="preserve">Для аналізу чутливості</t>
  </si>
  <si>
    <t xml:space="preserve">Витрати, що залежать від будівництва</t>
  </si>
  <si>
    <t xml:space="preserve">Інші витрати (без маркетингу)</t>
  </si>
  <si>
    <t xml:space="preserve">Потрібна зміна цін для цільової маржі</t>
  </si>
  <si>
    <t xml:space="preserve">при поточній ціні землі; фінансування — константа</t>
  </si>
  <si>
    <t xml:space="preserve">Сценарій B — бриф: 25 бунгало + ZON Hub (4 апартаменти + кав'ярня) = 29 житлових</t>
  </si>
  <si>
    <t xml:space="preserve">Шлях: бунгало в межах 25, але Hub додає 4 житла, клас E і короткострокову оренду — окрема / нова заявка. Ризик відмови.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</si>
</sst>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@"/>
    <numFmt numFmtId="167" formatCode="\£#,##0;&quot;(£&quot;#,##0\);\-"/>
    <numFmt numFmtId="168" formatCode="0.0%;\(0.0%\);\-"/>
    <numFmt numFmtId="169" formatCode="\+0%;\-0%;0%"/>
    <numFmt numFmtId="170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2"/>
      <c r="F4" s="2"/>
    </row>
    <row r="5" customFormat="false" ht="15" hidden="false" customHeight="false" outlineLevel="0" collapsed="false">
      <c r="A5" s="5" t="s">
        <v>6</v>
      </c>
      <c r="B5" s="6" t="n">
        <f aca="false">'Сценарій A'!$B$15</f>
        <v>25</v>
      </c>
      <c r="C5" s="6" t="n">
        <f aca="false">'Сценарій B'!$B$15</f>
        <v>29</v>
      </c>
      <c r="D5" s="7" t="n">
        <f aca="false">C5-B5</f>
        <v>4</v>
      </c>
      <c r="E5" s="2"/>
      <c r="F5" s="2"/>
    </row>
    <row r="6" customFormat="false" ht="15" hidden="false" customHeight="false" outlineLevel="0" collapsed="false">
      <c r="A6" s="5" t="s">
        <v>7</v>
      </c>
      <c r="B6" s="6" t="n">
        <f aca="false">'Сценарій A'!$B$25</f>
        <v>-908.300000000001</v>
      </c>
      <c r="C6" s="6" t="n">
        <f aca="false">'Сценарій B'!$B$25</f>
        <v>-1778.3</v>
      </c>
      <c r="D6" s="7" t="n">
        <f aca="false">C6-B6</f>
        <v>-869.999999999998</v>
      </c>
      <c r="E6" s="2"/>
      <c r="F6" s="2"/>
    </row>
    <row r="7" customFormat="false" ht="15" hidden="false" customHeight="false" outlineLevel="0" collapsed="false">
      <c r="A7" s="5" t="s">
        <v>8</v>
      </c>
      <c r="B7" s="8" t="str">
        <f aca="false">'Сценарій A'!$B$26</f>
        <v>НЕ ВМІЩУЄТЬСЯ</v>
      </c>
      <c r="C7" s="8" t="str">
        <f aca="false">'Сценарій B'!$B$26</f>
        <v>НЕ ВМІЩУЄТЬСЯ</v>
      </c>
      <c r="D7" s="2"/>
      <c r="E7" s="2"/>
      <c r="F7" s="2"/>
    </row>
    <row r="8" customFormat="false" ht="15" hidden="false" customHeight="false" outlineLevel="0" collapsed="false">
      <c r="A8" s="5" t="s">
        <v>9</v>
      </c>
      <c r="B8" s="6" t="n">
        <f aca="false">'Сценарій A'!$B$27</f>
        <v>412.4</v>
      </c>
      <c r="C8" s="6" t="n">
        <f aca="false">'Сценарій B'!$B$27</f>
        <v>411.2</v>
      </c>
      <c r="D8" s="7" t="n">
        <f aca="false">C8-B8</f>
        <v>-1.19999999999999</v>
      </c>
      <c r="E8" s="2"/>
      <c r="F8" s="2"/>
    </row>
    <row r="9" customFormat="false" ht="15" hidden="false" customHeight="false" outlineLevel="0" collapsed="false">
      <c r="A9" s="5" t="s">
        <v>10</v>
      </c>
      <c r="B9" s="6" t="n">
        <f aca="false">'Сценарій A'!$B$31</f>
        <v>8</v>
      </c>
      <c r="C9" s="6" t="n">
        <f aca="false">'Сценарій B'!$B$31</f>
        <v>9</v>
      </c>
      <c r="D9" s="7" t="n">
        <f aca="false">C9-B9</f>
        <v>1</v>
      </c>
      <c r="E9" s="2"/>
      <c r="F9" s="2"/>
    </row>
    <row r="10" customFormat="false" ht="15" hidden="false" customHeight="false" outlineLevel="0" collapsed="false">
      <c r="A10" s="5" t="s">
        <v>11</v>
      </c>
      <c r="B10" s="9" t="n">
        <f aca="false">'Сценарій A'!$B$37</f>
        <v>9163150</v>
      </c>
      <c r="C10" s="9" t="n">
        <f aca="false">'Сценарій B'!$B$37</f>
        <v>10231060</v>
      </c>
      <c r="D10" s="10" t="n">
        <f aca="false">C10-B10</f>
        <v>1067910</v>
      </c>
      <c r="E10" s="2"/>
      <c r="F10" s="2"/>
    </row>
    <row r="11" customFormat="false" ht="15" hidden="false" customHeight="false" outlineLevel="0" collapsed="false">
      <c r="A11" s="5" t="s">
        <v>12</v>
      </c>
      <c r="B11" s="9" t="n">
        <f aca="false">'Сценарій A'!$B$53</f>
        <v>10150492.1875</v>
      </c>
      <c r="C11" s="9" t="n">
        <f aca="false">'Сценарій B'!$B$53</f>
        <v>11876064.815</v>
      </c>
      <c r="D11" s="10" t="n">
        <f aca="false">C11-B11</f>
        <v>1725572.6275</v>
      </c>
      <c r="E11" s="2"/>
      <c r="F11" s="2"/>
    </row>
    <row r="12" customFormat="false" ht="15" hidden="false" customHeight="false" outlineLevel="0" collapsed="false">
      <c r="A12" s="11" t="s">
        <v>13</v>
      </c>
      <c r="B12" s="12" t="n">
        <f aca="false">'Сценарій A'!$B$56</f>
        <v>-987342.1875</v>
      </c>
      <c r="C12" s="12" t="n">
        <f aca="false">'Сценарій B'!$B$56</f>
        <v>-1645004.815</v>
      </c>
      <c r="D12" s="13" t="n">
        <f aca="false">C12-B12</f>
        <v>-657662.6275</v>
      </c>
      <c r="E12" s="2"/>
      <c r="F12" s="2"/>
    </row>
    <row r="13" customFormat="false" ht="15" hidden="false" customHeight="false" outlineLevel="0" collapsed="false">
      <c r="A13" s="11" t="s">
        <v>14</v>
      </c>
      <c r="B13" s="14" t="n">
        <f aca="false">'Сценарій A'!$B$57</f>
        <v>-0.107751394171218</v>
      </c>
      <c r="C13" s="14" t="n">
        <f aca="false">'Сценарій B'!$B$57</f>
        <v>-0.160785374633713</v>
      </c>
      <c r="D13" s="15" t="n">
        <f aca="false">C13-B13</f>
        <v>-0.053033980462495</v>
      </c>
      <c r="E13" s="2"/>
      <c r="F13" s="2"/>
    </row>
    <row r="14" customFormat="false" ht="15" hidden="false" customHeight="false" outlineLevel="0" collapsed="false">
      <c r="A14" s="5" t="s">
        <v>15</v>
      </c>
      <c r="B14" s="8" t="str">
        <f aca="false">'Сценарій A'!$B$59</f>
        <v>НИЖЧЕ ЦІЛІ</v>
      </c>
      <c r="C14" s="8" t="str">
        <f aca="false">'Сценарій B'!$B$59</f>
        <v>НИЖЧЕ ЦІЛІ</v>
      </c>
      <c r="D14" s="2"/>
      <c r="E14" s="2"/>
      <c r="F14" s="2"/>
    </row>
    <row r="15" customFormat="false" ht="15" hidden="false" customHeight="false" outlineLevel="0" collapsed="false">
      <c r="A15" s="5" t="s">
        <v>16</v>
      </c>
      <c r="B15" s="9" t="n">
        <f aca="false">'Сценарій A'!$B$60</f>
        <v>-754534.847697474</v>
      </c>
      <c r="C15" s="9" t="n">
        <f aca="false">'Сценарій B'!$B$60</f>
        <v>-1241952.76704799</v>
      </c>
      <c r="D15" s="10" t="n">
        <f aca="false">C15-B15</f>
        <v>-487417.919350513</v>
      </c>
      <c r="E15" s="2"/>
      <c r="F15" s="2"/>
    </row>
    <row r="16" customFormat="false" ht="15" hidden="false" customHeight="false" outlineLevel="0" collapsed="false">
      <c r="A16" s="5" t="s">
        <v>17</v>
      </c>
      <c r="B16" s="16" t="n">
        <f aca="false">'Сценарій A'!$B$66</f>
        <v>0.397098573124153</v>
      </c>
      <c r="C16" s="16" t="n">
        <f aca="false">'Сценарій B'!$B$66</f>
        <v>0.465529515656405</v>
      </c>
      <c r="D16" s="17" t="n">
        <f aca="false">C16-B16</f>
        <v>0.0684309425322516</v>
      </c>
      <c r="E16" s="2"/>
      <c r="F16" s="2"/>
    </row>
    <row r="17" customFormat="false" ht="15" hidden="false" customHeight="false" outlineLevel="0" collapsed="false">
      <c r="A17" s="5" t="s">
        <v>18</v>
      </c>
      <c r="B17" s="16" t="n">
        <f aca="false">'Сценарій A'!$B$12</f>
        <v>0.85</v>
      </c>
      <c r="C17" s="16" t="n">
        <f aca="false">'Сценарій B'!$B$12</f>
        <v>0.45</v>
      </c>
      <c r="D17" s="17" t="n">
        <f aca="false">C17-B17</f>
        <v>-0.4</v>
      </c>
      <c r="E17" s="2"/>
      <c r="F17" s="2"/>
    </row>
    <row r="18" customFormat="false" ht="15" hidden="false" customHeight="false" outlineLevel="0" collapsed="false">
      <c r="A18" s="11" t="s">
        <v>19</v>
      </c>
      <c r="B18" s="12" t="n">
        <f aca="false">'Сценарій A'!$B$61</f>
        <v>-854240.859375</v>
      </c>
      <c r="C18" s="12" t="n">
        <f aca="false">'Сценарій B'!$B$61</f>
        <v>-877752.16675</v>
      </c>
      <c r="D18" s="13" t="n">
        <f aca="false">C18-B18</f>
        <v>-23511.3073749997</v>
      </c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11" t="s">
        <v>20</v>
      </c>
      <c r="B21" s="2"/>
      <c r="C21" s="2"/>
      <c r="D21" s="2"/>
      <c r="E21" s="2"/>
      <c r="F21" s="2"/>
    </row>
    <row r="22" customFormat="false" ht="15" hidden="false" customHeight="false" outlineLevel="0" collapsed="false">
      <c r="A22" s="18" t="s">
        <v>21</v>
      </c>
      <c r="B22" s="19" t="n">
        <v>-0.1</v>
      </c>
      <c r="C22" s="19" t="n">
        <v>-0.05</v>
      </c>
      <c r="D22" s="19" t="n">
        <v>0</v>
      </c>
      <c r="E22" s="19" t="n">
        <v>0.05</v>
      </c>
      <c r="F22" s="19" t="n">
        <v>0.1</v>
      </c>
    </row>
    <row r="23" customFormat="false" ht="15" hidden="false" customHeight="false" outlineLevel="0" collapsed="false">
      <c r="A23" s="19" t="n">
        <v>-0.1</v>
      </c>
      <c r="B23" s="10" t="n">
        <f aca="false">'Сценарій A'!$B$37*(1+$A23)*(1-Припущення!$B$33)-'Сценарій A'!$B$64*(1+B$22)-'Сценарій A'!$B$65</f>
        <v>-1191197.8125</v>
      </c>
      <c r="C23" s="10" t="n">
        <f aca="false">'Сценарій A'!$B$37*(1+$A23)*(1-Припущення!$B$33)-'Сценарій A'!$B$64*(1+C$22)-'Сценарій A'!$B$65</f>
        <v>-1535973.5625</v>
      </c>
      <c r="D23" s="10" t="n">
        <f aca="false">'Сценарій A'!$B$37*(1+$A23)*(1-Припущення!$B$33)-'Сценарій A'!$B$64*(1+D$22)-'Сценарій A'!$B$65</f>
        <v>-1880749.3125</v>
      </c>
      <c r="E23" s="10" t="n">
        <f aca="false">'Сценарій A'!$B$37*(1+$A23)*(1-Припущення!$B$33)-'Сценарій A'!$B$64*(1+E$22)-'Сценарій A'!$B$65</f>
        <v>-2225525.0625</v>
      </c>
      <c r="F23" s="10" t="n">
        <f aca="false">'Сценарій A'!$B$37*(1+$A23)*(1-Припущення!$B$33)-'Сценарій A'!$B$64*(1+F$22)-'Сценарій A'!$B$65</f>
        <v>-2570300.8125</v>
      </c>
    </row>
    <row r="24" customFormat="false" ht="15" hidden="false" customHeight="false" outlineLevel="0" collapsed="false">
      <c r="A24" s="19" t="n">
        <v>-0.05</v>
      </c>
      <c r="B24" s="10" t="n">
        <f aca="false">'Сценарій A'!$B$37*(1+$A24)*(1-Припущення!$B$33)-'Сценарій A'!$B$64*(1+B$22)-'Сценарій A'!$B$65</f>
        <v>-744494.25</v>
      </c>
      <c r="C24" s="10" t="n">
        <f aca="false">'Сценарій A'!$B$37*(1+$A24)*(1-Припущення!$B$33)-'Сценарій A'!$B$64*(1+C$22)-'Сценарій A'!$B$65</f>
        <v>-1089270</v>
      </c>
      <c r="D24" s="10" t="n">
        <f aca="false">'Сценарій A'!$B$37*(1+$A24)*(1-Припущення!$B$33)-'Сценарій A'!$B$64*(1+D$22)-'Сценарій A'!$B$65</f>
        <v>-1434045.75</v>
      </c>
      <c r="E24" s="10" t="n">
        <f aca="false">'Сценарій A'!$B$37*(1+$A24)*(1-Припущення!$B$33)-'Сценарій A'!$B$64*(1+E$22)-'Сценарій A'!$B$65</f>
        <v>-1778821.5</v>
      </c>
      <c r="F24" s="10" t="n">
        <f aca="false">'Сценарій A'!$B$37*(1+$A24)*(1-Припущення!$B$33)-'Сценарій A'!$B$64*(1+F$22)-'Сценарій A'!$B$65</f>
        <v>-2123597.25</v>
      </c>
    </row>
    <row r="25" customFormat="false" ht="15" hidden="false" customHeight="false" outlineLevel="0" collapsed="false">
      <c r="A25" s="19" t="n">
        <v>0</v>
      </c>
      <c r="B25" s="10" t="n">
        <f aca="false">'Сценарій A'!$B$37*(1+$A25)*(1-Припущення!$B$33)-'Сценарій A'!$B$64*(1+B$22)-'Сценарій A'!$B$65</f>
        <v>-297790.6875</v>
      </c>
      <c r="C25" s="10" t="n">
        <f aca="false">'Сценарій A'!$B$37*(1+$A25)*(1-Припущення!$B$33)-'Сценарій A'!$B$64*(1+C$22)-'Сценарій A'!$B$65</f>
        <v>-642566.4375</v>
      </c>
      <c r="D25" s="10" t="n">
        <f aca="false">'Сценарій A'!$B$37*(1+$A25)*(1-Припущення!$B$33)-'Сценарій A'!$B$64*(1+D$22)-'Сценарій A'!$B$65</f>
        <v>-987342.1875</v>
      </c>
      <c r="E25" s="10" t="n">
        <f aca="false">'Сценарій A'!$B$37*(1+$A25)*(1-Припущення!$B$33)-'Сценарій A'!$B$64*(1+E$22)-'Сценарій A'!$B$65</f>
        <v>-1332117.9375</v>
      </c>
      <c r="F25" s="10" t="n">
        <f aca="false">'Сценарій A'!$B$37*(1+$A25)*(1-Припущення!$B$33)-'Сценарій A'!$B$64*(1+F$22)-'Сценарій A'!$B$65</f>
        <v>-1676893.6875</v>
      </c>
    </row>
    <row r="26" customFormat="false" ht="15" hidden="false" customHeight="false" outlineLevel="0" collapsed="false">
      <c r="A26" s="19" t="n">
        <v>0.05</v>
      </c>
      <c r="B26" s="10" t="n">
        <f aca="false">'Сценарій A'!$B$37*(1+$A26)*(1-Припущення!$B$33)-'Сценарій A'!$B$64*(1+B$22)-'Сценарій A'!$B$65</f>
        <v>148912.875</v>
      </c>
      <c r="C26" s="10" t="n">
        <f aca="false">'Сценарій A'!$B$37*(1+$A26)*(1-Припущення!$B$33)-'Сценарій A'!$B$64*(1+C$22)-'Сценарій A'!$B$65</f>
        <v>-195862.875</v>
      </c>
      <c r="D26" s="10" t="n">
        <f aca="false">'Сценарій A'!$B$37*(1+$A26)*(1-Припущення!$B$33)-'Сценарій A'!$B$64*(1+D$22)-'Сценарій A'!$B$65</f>
        <v>-540638.625</v>
      </c>
      <c r="E26" s="10" t="n">
        <f aca="false">'Сценарій A'!$B$37*(1+$A26)*(1-Припущення!$B$33)-'Сценарій A'!$B$64*(1+E$22)-'Сценарій A'!$B$65</f>
        <v>-885414.375</v>
      </c>
      <c r="F26" s="10" t="n">
        <f aca="false">'Сценарій A'!$B$37*(1+$A26)*(1-Припущення!$B$33)-'Сценарій A'!$B$64*(1+F$22)-'Сценарій A'!$B$65</f>
        <v>-1230190.125</v>
      </c>
    </row>
    <row r="27" customFormat="false" ht="15" hidden="false" customHeight="false" outlineLevel="0" collapsed="false">
      <c r="A27" s="19" t="n">
        <v>0.1</v>
      </c>
      <c r="B27" s="10" t="n">
        <f aca="false">'Сценарій A'!$B$37*(1+$A27)*(1-Припущення!$B$33)-'Сценарій A'!$B$64*(1+B$22)-'Сценарій A'!$B$65</f>
        <v>595616.4375</v>
      </c>
      <c r="C27" s="10" t="n">
        <f aca="false">'Сценарій A'!$B$37*(1+$A27)*(1-Припущення!$B$33)-'Сценарій A'!$B$64*(1+C$22)-'Сценарій A'!$B$65</f>
        <v>250840.6875</v>
      </c>
      <c r="D27" s="10" t="n">
        <f aca="false">'Сценарій A'!$B$37*(1+$A27)*(1-Припущення!$B$33)-'Сценарій A'!$B$64*(1+D$22)-'Сценарій A'!$B$65</f>
        <v>-93935.0625</v>
      </c>
      <c r="E27" s="10" t="n">
        <f aca="false">'Сценарій A'!$B$37*(1+$A27)*(1-Припущення!$B$33)-'Сценарій A'!$B$64*(1+E$22)-'Сценарій A'!$B$65</f>
        <v>-438710.8125</v>
      </c>
      <c r="F27" s="10" t="n">
        <f aca="false">'Сценарій A'!$B$37*(1+$A27)*(1-Припущення!$B$33)-'Сценарій A'!$B$64*(1+F$22)-'Сценарій A'!$B$65</f>
        <v>-783486.562500001</v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11" t="s">
        <v>22</v>
      </c>
      <c r="B30" s="2"/>
      <c r="C30" s="2"/>
      <c r="D30" s="2"/>
      <c r="E30" s="2"/>
      <c r="F30" s="2"/>
    </row>
    <row r="31" customFormat="false" ht="15" hidden="false" customHeight="false" outlineLevel="0" collapsed="false">
      <c r="A31" s="18" t="s">
        <v>21</v>
      </c>
      <c r="B31" s="19" t="n">
        <v>-0.1</v>
      </c>
      <c r="C31" s="19" t="n">
        <v>-0.05</v>
      </c>
      <c r="D31" s="19" t="n">
        <v>0</v>
      </c>
      <c r="E31" s="19" t="n">
        <v>0.05</v>
      </c>
      <c r="F31" s="19" t="n">
        <v>0.1</v>
      </c>
    </row>
    <row r="32" customFormat="false" ht="15" hidden="false" customHeight="false" outlineLevel="0" collapsed="false">
      <c r="A32" s="19" t="n">
        <v>-0.1</v>
      </c>
      <c r="B32" s="10" t="n">
        <f aca="false">'Сценарій B'!$B$37*(1+$A32)*(1-Припущення!$B$33)-'Сценарій B'!$B$64*(1+B$31)-'Сценарій B'!$B$65</f>
        <v>-1817134.465</v>
      </c>
      <c r="C32" s="10" t="n">
        <f aca="false">'Сценарій B'!$B$37*(1+$A32)*(1-Припущення!$B$33)-'Сценарій B'!$B$64*(1+C$31)-'Сценарій B'!$B$65</f>
        <v>-2229833.815</v>
      </c>
      <c r="D32" s="10" t="n">
        <f aca="false">'Сценарій B'!$B$37*(1+$A32)*(1-Припущення!$B$33)-'Сценарій B'!$B$64*(1+D$31)-'Сценарій B'!$B$65</f>
        <v>-2642533.165</v>
      </c>
      <c r="E32" s="10" t="n">
        <f aca="false">'Сценарій B'!$B$37*(1+$A32)*(1-Припущення!$B$33)-'Сценарій B'!$B$64*(1+E$31)-'Сценарій B'!$B$65</f>
        <v>-3055232.515</v>
      </c>
      <c r="F32" s="10" t="n">
        <f aca="false">'Сценарій B'!$B$37*(1+$A32)*(1-Припущення!$B$33)-'Сценарій B'!$B$64*(1+F$31)-'Сценарій B'!$B$65</f>
        <v>-3467931.865</v>
      </c>
    </row>
    <row r="33" customFormat="false" ht="15" hidden="false" customHeight="false" outlineLevel="0" collapsed="false">
      <c r="A33" s="19" t="n">
        <v>-0.05</v>
      </c>
      <c r="B33" s="10" t="n">
        <f aca="false">'Сценарій B'!$B$37*(1+$A33)*(1-Припущення!$B$33)-'Сценарій B'!$B$64*(1+B$31)-'Сценарій B'!$B$65</f>
        <v>-1318370.29</v>
      </c>
      <c r="C33" s="10" t="n">
        <f aca="false">'Сценарій B'!$B$37*(1+$A33)*(1-Припущення!$B$33)-'Сценарій B'!$B$64*(1+C$31)-'Сценарій B'!$B$65</f>
        <v>-1731069.64</v>
      </c>
      <c r="D33" s="10" t="n">
        <f aca="false">'Сценарій B'!$B$37*(1+$A33)*(1-Припущення!$B$33)-'Сценарій B'!$B$64*(1+D$31)-'Сценарій B'!$B$65</f>
        <v>-2143768.99</v>
      </c>
      <c r="E33" s="10" t="n">
        <f aca="false">'Сценарій B'!$B$37*(1+$A33)*(1-Припущення!$B$33)-'Сценарій B'!$B$64*(1+E$31)-'Сценарій B'!$B$65</f>
        <v>-2556468.34</v>
      </c>
      <c r="F33" s="10" t="n">
        <f aca="false">'Сценарій B'!$B$37*(1+$A33)*(1-Припущення!$B$33)-'Сценарій B'!$B$64*(1+F$31)-'Сценарій B'!$B$65</f>
        <v>-2969167.69</v>
      </c>
    </row>
    <row r="34" customFormat="false" ht="15" hidden="false" customHeight="false" outlineLevel="0" collapsed="false">
      <c r="A34" s="19" t="n">
        <v>0</v>
      </c>
      <c r="B34" s="10" t="n">
        <f aca="false">'Сценарій B'!$B$37*(1+$A34)*(1-Припущення!$B$33)-'Сценарій B'!$B$64*(1+B$31)-'Сценарій B'!$B$65</f>
        <v>-819606.114999999</v>
      </c>
      <c r="C34" s="10" t="n">
        <f aca="false">'Сценарій B'!$B$37*(1+$A34)*(1-Припущення!$B$33)-'Сценарій B'!$B$64*(1+C$31)-'Сценарій B'!$B$65</f>
        <v>-1232305.465</v>
      </c>
      <c r="D34" s="10" t="n">
        <f aca="false">'Сценарій B'!$B$37*(1+$A34)*(1-Припущення!$B$33)-'Сценарій B'!$B$64*(1+D$31)-'Сценарій B'!$B$65</f>
        <v>-1645004.815</v>
      </c>
      <c r="E34" s="10" t="n">
        <f aca="false">'Сценарій B'!$B$37*(1+$A34)*(1-Припущення!$B$33)-'Сценарій B'!$B$64*(1+E$31)-'Сценарій B'!$B$65</f>
        <v>-2057704.165</v>
      </c>
      <c r="F34" s="10" t="n">
        <f aca="false">'Сценарій B'!$B$37*(1+$A34)*(1-Припущення!$B$33)-'Сценарій B'!$B$64*(1+F$31)-'Сценарій B'!$B$65</f>
        <v>-2470403.515</v>
      </c>
    </row>
    <row r="35" customFormat="false" ht="15" hidden="false" customHeight="false" outlineLevel="0" collapsed="false">
      <c r="A35" s="19" t="n">
        <v>0.05</v>
      </c>
      <c r="B35" s="10" t="n">
        <f aca="false">'Сценарій B'!$B$37*(1+$A35)*(1-Припущення!$B$33)-'Сценарій B'!$B$64*(1+B$31)-'Сценарій B'!$B$65</f>
        <v>-320841.94</v>
      </c>
      <c r="C35" s="10" t="n">
        <f aca="false">'Сценарій B'!$B$37*(1+$A35)*(1-Припущення!$B$33)-'Сценарій B'!$B$64*(1+C$31)-'Сценарій B'!$B$65</f>
        <v>-733541.29</v>
      </c>
      <c r="D35" s="10" t="n">
        <f aca="false">'Сценарій B'!$B$37*(1+$A35)*(1-Припущення!$B$33)-'Сценарій B'!$B$64*(1+D$31)-'Сценарій B'!$B$65</f>
        <v>-1146240.64</v>
      </c>
      <c r="E35" s="10" t="n">
        <f aca="false">'Сценарій B'!$B$37*(1+$A35)*(1-Припущення!$B$33)-'Сценарій B'!$B$64*(1+E$31)-'Сценарій B'!$B$65</f>
        <v>-1558939.99</v>
      </c>
      <c r="F35" s="10" t="n">
        <f aca="false">'Сценарій B'!$B$37*(1+$A35)*(1-Припущення!$B$33)-'Сценарій B'!$B$64*(1+F$31)-'Сценарій B'!$B$65</f>
        <v>-1971639.34</v>
      </c>
    </row>
    <row r="36" customFormat="false" ht="15" hidden="false" customHeight="false" outlineLevel="0" collapsed="false">
      <c r="A36" s="19" t="n">
        <v>0.1</v>
      </c>
      <c r="B36" s="10" t="n">
        <f aca="false">'Сценарій B'!$B$37*(1+$A36)*(1-Припущення!$B$33)-'Сценарій B'!$B$64*(1+B$31)-'Сценарій B'!$B$65</f>
        <v>177922.235</v>
      </c>
      <c r="C36" s="10" t="n">
        <f aca="false">'Сценарій B'!$B$37*(1+$A36)*(1-Припущення!$B$33)-'Сценарій B'!$B$64*(1+C$31)-'Сценарій B'!$B$65</f>
        <v>-234777.114999999</v>
      </c>
      <c r="D36" s="10" t="n">
        <f aca="false">'Сценарій B'!$B$37*(1+$A36)*(1-Припущення!$B$33)-'Сценарій B'!$B$64*(1+D$31)-'Сценарій B'!$B$65</f>
        <v>-647476.465</v>
      </c>
      <c r="E36" s="10" t="n">
        <f aca="false">'Сценарій B'!$B$37*(1+$A36)*(1-Припущення!$B$33)-'Сценарій B'!$B$64*(1+E$31)-'Сценарій B'!$B$65</f>
        <v>-1060175.815</v>
      </c>
      <c r="F36" s="10" t="n">
        <f aca="false">'Сценарій B'!$B$37*(1+$A36)*(1-Припущення!$B$33)-'Сценарій B'!$B$64*(1+F$31)-'Сценарій B'!$B$65</f>
        <v>-1472875.165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23</v>
      </c>
      <c r="B1" s="2"/>
      <c r="C1" s="2"/>
      <c r="D1" s="2"/>
    </row>
    <row r="2" customFormat="false" ht="30" hidden="false" customHeight="true" outlineLevel="0" collapsed="false">
      <c r="A2" s="20" t="s">
        <v>24</v>
      </c>
      <c r="B2" s="20"/>
      <c r="C2" s="20"/>
      <c r="D2" s="20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21" t="s">
        <v>25</v>
      </c>
      <c r="B4" s="22"/>
      <c r="C4" s="22"/>
      <c r="D4" s="22"/>
    </row>
    <row r="5" customFormat="false" ht="15" hidden="false" customHeight="false" outlineLevel="0" collapsed="false">
      <c r="A5" s="5" t="s">
        <v>26</v>
      </c>
      <c r="B5" s="9" t="n">
        <f aca="false">'Сценарій A'!$B$37</f>
        <v>9163150</v>
      </c>
      <c r="C5" s="2"/>
      <c r="D5" s="2"/>
    </row>
    <row r="6" customFormat="false" ht="15" hidden="false" customHeight="false" outlineLevel="0" collapsed="false">
      <c r="A6" s="5" t="s">
        <v>27</v>
      </c>
      <c r="B6" s="9" t="n">
        <f aca="false">'Сценарій A'!$B$56</f>
        <v>-987342.1875</v>
      </c>
      <c r="C6" s="2"/>
      <c r="D6" s="2"/>
    </row>
    <row r="7" customFormat="false" ht="15" hidden="false" customHeight="false" outlineLevel="0" collapsed="false">
      <c r="A7" s="5" t="s">
        <v>28</v>
      </c>
      <c r="B7" s="16" t="n">
        <f aca="false">'Сценарій A'!$B$57</f>
        <v>-0.107751394171218</v>
      </c>
      <c r="C7" s="2"/>
      <c r="D7" s="2"/>
    </row>
    <row r="8" customFormat="false" ht="15" hidden="false" customHeight="false" outlineLevel="0" collapsed="false">
      <c r="A8" s="2"/>
      <c r="B8" s="2"/>
      <c r="C8" s="2"/>
      <c r="D8" s="2"/>
    </row>
    <row r="9" customFormat="false" ht="15" hidden="false" customHeight="false" outlineLevel="0" collapsed="false">
      <c r="A9" s="21" t="s">
        <v>29</v>
      </c>
      <c r="B9" s="22"/>
      <c r="C9" s="22"/>
      <c r="D9" s="22"/>
    </row>
    <row r="10" customFormat="false" ht="15" hidden="false" customHeight="false" outlineLevel="0" collapsed="false">
      <c r="A10" s="5" t="s">
        <v>30</v>
      </c>
      <c r="B10" s="23" t="n">
        <v>27500</v>
      </c>
      <c r="C10" s="24" t="s">
        <v>31</v>
      </c>
      <c r="D10" s="2"/>
    </row>
    <row r="11" customFormat="false" ht="15" hidden="false" customHeight="false" outlineLevel="0" collapsed="false">
      <c r="A11" s="5" t="s">
        <v>32</v>
      </c>
      <c r="B11" s="25" t="n">
        <v>0.07</v>
      </c>
      <c r="C11" s="24" t="s">
        <v>33</v>
      </c>
      <c r="D11" s="2"/>
    </row>
    <row r="12" customFormat="false" ht="15" hidden="false" customHeight="false" outlineLevel="0" collapsed="false">
      <c r="A12" s="5" t="s">
        <v>34</v>
      </c>
      <c r="B12" s="23" t="n">
        <v>390000</v>
      </c>
      <c r="C12" s="24" t="s">
        <v>35</v>
      </c>
      <c r="D12" s="2"/>
    </row>
    <row r="13" customFormat="false" ht="15" hidden="false" customHeight="false" outlineLevel="0" collapsed="false">
      <c r="A13" s="5" t="s">
        <v>36</v>
      </c>
      <c r="B13" s="10" t="n">
        <f aca="false">$B$10/$B$11</f>
        <v>392857.142857143</v>
      </c>
      <c r="C13" s="2"/>
      <c r="D13" s="2"/>
    </row>
    <row r="14" customFormat="false" ht="15" hidden="false" customHeight="false" outlineLevel="0" collapsed="false">
      <c r="A14" s="11" t="s">
        <v>37</v>
      </c>
      <c r="B14" s="13" t="n">
        <f aca="false">$B$13*(1-Припущення!$B$33)-$B$12</f>
        <v>-6964.28571428574</v>
      </c>
      <c r="C14" s="24" t="s">
        <v>38</v>
      </c>
      <c r="D14" s="2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1" t="s">
        <v>39</v>
      </c>
      <c r="B16" s="22"/>
      <c r="C16" s="22"/>
      <c r="D16" s="22"/>
    </row>
    <row r="17" customFormat="false" ht="15" hidden="false" customHeight="false" outlineLevel="0" collapsed="false">
      <c r="A17" s="5" t="s">
        <v>40</v>
      </c>
      <c r="B17" s="7" t="n">
        <f aca="false">'Сценарій A'!$B$15-'Сценарій A'!$B$31</f>
        <v>17</v>
      </c>
      <c r="C17" s="24" t="s">
        <v>41</v>
      </c>
      <c r="D17" s="2"/>
    </row>
    <row r="18" customFormat="false" ht="15" hidden="false" customHeight="false" outlineLevel="0" collapsed="false">
      <c r="A18" s="5" t="s">
        <v>42</v>
      </c>
      <c r="B18" s="25" t="n">
        <v>0.6</v>
      </c>
      <c r="C18" s="24" t="s">
        <v>43</v>
      </c>
      <c r="D18" s="2"/>
    </row>
    <row r="19" customFormat="false" ht="15" hidden="false" customHeight="false" outlineLevel="0" collapsed="false">
      <c r="A19" s="5" t="s">
        <v>44</v>
      </c>
      <c r="B19" s="26" t="n">
        <v>35000</v>
      </c>
      <c r="C19" s="24" t="s">
        <v>45</v>
      </c>
      <c r="D19" s="2"/>
    </row>
    <row r="20" customFormat="false" ht="15" hidden="false" customHeight="false" outlineLevel="0" collapsed="false">
      <c r="A20" s="5" t="s">
        <v>46</v>
      </c>
      <c r="B20" s="26" t="n">
        <v>20000</v>
      </c>
      <c r="C20" s="24" t="s">
        <v>45</v>
      </c>
      <c r="D20" s="2"/>
    </row>
    <row r="21" customFormat="false" ht="15" hidden="false" customHeight="false" outlineLevel="0" collapsed="false">
      <c r="A21" s="5" t="s">
        <v>47</v>
      </c>
      <c r="B21" s="7" t="n">
        <f aca="false">ROUND($B$17*$B$18,0)</f>
        <v>10</v>
      </c>
      <c r="C21" s="2"/>
      <c r="D21" s="2"/>
    </row>
    <row r="22" customFormat="false" ht="15" hidden="false" customHeight="false" outlineLevel="0" collapsed="false">
      <c r="A22" s="5" t="s">
        <v>48</v>
      </c>
      <c r="B22" s="10" t="n">
        <f aca="false">$B$21*$B$19</f>
        <v>350000</v>
      </c>
      <c r="C22" s="2"/>
      <c r="D22" s="2"/>
    </row>
    <row r="23" customFormat="false" ht="15" hidden="false" customHeight="false" outlineLevel="0" collapsed="false">
      <c r="A23" s="11" t="s">
        <v>49</v>
      </c>
      <c r="B23" s="13" t="n">
        <f aca="false">$B$21*($B$19*(1-Припущення!$B$33)-$B$20)</f>
        <v>141250</v>
      </c>
      <c r="C23" s="2"/>
      <c r="D23" s="2"/>
    </row>
    <row r="24" customFormat="false" ht="15" hidden="false" customHeight="false" outlineLevel="0" collapsed="false">
      <c r="A24" s="2"/>
      <c r="B24" s="2"/>
      <c r="C24" s="2"/>
      <c r="D24" s="2"/>
    </row>
    <row r="25" customFormat="false" ht="15" hidden="false" customHeight="false" outlineLevel="0" collapsed="false">
      <c r="A25" s="21" t="s">
        <v>50</v>
      </c>
      <c r="B25" s="22"/>
      <c r="C25" s="22"/>
      <c r="D25" s="22"/>
    </row>
    <row r="26" customFormat="false" ht="15" hidden="false" customHeight="false" outlineLevel="0" collapsed="false">
      <c r="A26" s="5" t="s">
        <v>51</v>
      </c>
      <c r="B26" s="27" t="n">
        <v>0.04</v>
      </c>
      <c r="C26" s="24" t="s">
        <v>52</v>
      </c>
      <c r="D26" s="2"/>
    </row>
    <row r="27" customFormat="false" ht="15" hidden="false" customHeight="false" outlineLevel="0" collapsed="false">
      <c r="A27" s="11" t="s">
        <v>53</v>
      </c>
      <c r="B27" s="13" t="n">
        <f aca="false">'Сценарій A'!$B$64*$B$26</f>
        <v>275820.6</v>
      </c>
      <c r="C27" s="2"/>
      <c r="D27" s="2"/>
    </row>
    <row r="28" customFormat="false" ht="15" hidden="false" customHeight="false" outlineLevel="0" collapsed="false">
      <c r="A28" s="2"/>
      <c r="B28" s="2"/>
      <c r="C28" s="2"/>
      <c r="D28" s="2"/>
    </row>
    <row r="29" customFormat="false" ht="15" hidden="false" customHeight="false" outlineLevel="0" collapsed="false">
      <c r="A29" s="21" t="s">
        <v>54</v>
      </c>
      <c r="B29" s="22"/>
      <c r="C29" s="22"/>
      <c r="D29" s="22"/>
    </row>
    <row r="30" customFormat="false" ht="15" hidden="false" customHeight="false" outlineLevel="0" collapsed="false">
      <c r="A30" s="5" t="s">
        <v>55</v>
      </c>
      <c r="B30" s="26" t="n">
        <v>140000</v>
      </c>
      <c r="C30" s="24" t="s">
        <v>56</v>
      </c>
      <c r="D30" s="2"/>
    </row>
    <row r="31" customFormat="false" ht="15" hidden="false" customHeight="false" outlineLevel="0" collapsed="false">
      <c r="A31" s="11" t="s">
        <v>57</v>
      </c>
      <c r="B31" s="13" t="n">
        <f aca="false">$B$30*(1+Припущення!$B$41)*(1+Припущення!$B$35*(Припущення!$B$37+'Сценарій A'!$B$13)/12)</f>
        <v>175112</v>
      </c>
      <c r="C31" s="2"/>
      <c r="D31" s="2"/>
    </row>
    <row r="32" customFormat="false" ht="15" hidden="false" customHeight="false" outlineLevel="0" collapsed="false">
      <c r="A32" s="2"/>
      <c r="B32" s="2"/>
      <c r="C32" s="2"/>
      <c r="D32" s="2"/>
    </row>
    <row r="33" customFormat="false" ht="15" hidden="false" customHeight="false" outlineLevel="0" collapsed="false">
      <c r="A33" s="21" t="s">
        <v>58</v>
      </c>
      <c r="B33" s="22"/>
      <c r="C33" s="22"/>
      <c r="D33" s="22"/>
    </row>
    <row r="34" customFormat="false" ht="15" hidden="false" customHeight="false" outlineLevel="0" collapsed="false">
      <c r="A34" s="5" t="s">
        <v>59</v>
      </c>
      <c r="B34" s="27" t="n">
        <v>0.25</v>
      </c>
      <c r="C34" s="24" t="s">
        <v>60</v>
      </c>
      <c r="D34" s="2"/>
    </row>
    <row r="35" customFormat="false" ht="15" hidden="false" customHeight="false" outlineLevel="0" collapsed="false">
      <c r="A35" s="11" t="s">
        <v>53</v>
      </c>
      <c r="B35" s="13" t="n">
        <f aca="false">'Сценарій A'!$B$48*$B$34</f>
        <v>57269.6875</v>
      </c>
      <c r="C35" s="2"/>
      <c r="D35" s="2"/>
    </row>
    <row r="36" customFormat="false" ht="15" hidden="false" customHeight="false" outlineLevel="0" collapsed="false">
      <c r="A36" s="2"/>
      <c r="B36" s="2"/>
      <c r="C36" s="2"/>
      <c r="D36" s="2"/>
    </row>
    <row r="37" customFormat="false" ht="15" hidden="false" customHeight="false" outlineLevel="0" collapsed="false">
      <c r="A37" s="21" t="s">
        <v>61</v>
      </c>
      <c r="B37" s="22"/>
      <c r="C37" s="22"/>
      <c r="D37" s="22"/>
    </row>
    <row r="38" customFormat="false" ht="15" hidden="false" customHeight="false" outlineLevel="0" collapsed="false">
      <c r="A38" s="5" t="s">
        <v>62</v>
      </c>
      <c r="B38" s="26" t="n">
        <v>2560000</v>
      </c>
      <c r="C38" s="24" t="s">
        <v>45</v>
      </c>
      <c r="D38" s="2"/>
    </row>
    <row r="39" customFormat="false" ht="15" hidden="false" customHeight="false" outlineLevel="0" collapsed="false">
      <c r="A39" s="5" t="s">
        <v>63</v>
      </c>
      <c r="B39" s="27" t="n">
        <v>0.12</v>
      </c>
      <c r="C39" s="24" t="s">
        <v>45</v>
      </c>
      <c r="D39" s="2"/>
    </row>
    <row r="40" customFormat="false" ht="15" hidden="false" customHeight="false" outlineLevel="0" collapsed="false">
      <c r="A40" s="5" t="s">
        <v>64</v>
      </c>
      <c r="B40" s="26" t="n">
        <v>800000</v>
      </c>
      <c r="C40" s="24" t="s">
        <v>45</v>
      </c>
      <c r="D40" s="2"/>
    </row>
    <row r="41" customFormat="false" ht="15" hidden="false" customHeight="false" outlineLevel="0" collapsed="false">
      <c r="A41" s="5" t="s">
        <v>65</v>
      </c>
      <c r="B41" s="28" t="n">
        <v>24</v>
      </c>
      <c r="C41" s="2"/>
      <c r="D41" s="2"/>
    </row>
    <row r="42" customFormat="false" ht="15" hidden="false" customHeight="false" outlineLevel="0" collapsed="false">
      <c r="A42" s="5" t="s">
        <v>66</v>
      </c>
      <c r="B42" s="28" t="n">
        <v>15</v>
      </c>
      <c r="C42" s="2"/>
      <c r="D42" s="2"/>
    </row>
    <row r="43" customFormat="false" ht="15" hidden="false" customHeight="false" outlineLevel="0" collapsed="false">
      <c r="A43" s="5" t="s">
        <v>67</v>
      </c>
      <c r="B43" s="10" t="n">
        <f aca="false">$B$38*$B$39*$B$41/12</f>
        <v>614400</v>
      </c>
      <c r="C43" s="2"/>
      <c r="D43" s="2"/>
    </row>
    <row r="44" customFormat="false" ht="15" hidden="false" customHeight="false" outlineLevel="0" collapsed="false">
      <c r="A44" s="5" t="s">
        <v>68</v>
      </c>
      <c r="B44" s="10" t="n">
        <f aca="false">$B$40*$B$39*$B$41/12+($B$38-$B$40)*$B$39*$B$42/12</f>
        <v>456000</v>
      </c>
      <c r="C44" s="2"/>
      <c r="D44" s="2"/>
    </row>
    <row r="45" customFormat="false" ht="15" hidden="false" customHeight="false" outlineLevel="0" collapsed="false">
      <c r="A45" s="11" t="s">
        <v>69</v>
      </c>
      <c r="B45" s="13" t="n">
        <f aca="false">$B$43-$B$44</f>
        <v>158400</v>
      </c>
      <c r="C45" s="24" t="s">
        <v>70</v>
      </c>
      <c r="D45" s="2"/>
    </row>
    <row r="46" customFormat="false" ht="15" hidden="false" customHeight="false" outlineLevel="0" collapsed="false">
      <c r="A46" s="2"/>
      <c r="B46" s="2"/>
      <c r="C46" s="2"/>
      <c r="D46" s="2"/>
    </row>
    <row r="47" customFormat="false" ht="15" hidden="false" customHeight="false" outlineLevel="0" collapsed="false">
      <c r="A47" s="21" t="s">
        <v>71</v>
      </c>
      <c r="B47" s="22"/>
      <c r="C47" s="22"/>
      <c r="D47" s="22"/>
    </row>
    <row r="48" customFormat="false" ht="15" hidden="false" customHeight="false" outlineLevel="0" collapsed="false">
      <c r="A48" s="11" t="s">
        <v>72</v>
      </c>
      <c r="B48" s="13" t="n">
        <f aca="false">$B$14+$B$23+$B$27+$B$31+$B$35</f>
        <v>642488.001785714</v>
      </c>
      <c r="C48" s="2"/>
      <c r="D48" s="2"/>
    </row>
    <row r="49" customFormat="false" ht="15" hidden="false" customHeight="false" outlineLevel="0" collapsed="false">
      <c r="A49" s="11" t="s">
        <v>73</v>
      </c>
      <c r="B49" s="13" t="n">
        <f aca="false">$B$6+$B$48</f>
        <v>-344854.185714286</v>
      </c>
      <c r="C49" s="2"/>
      <c r="D49" s="2"/>
    </row>
    <row r="50" customFormat="false" ht="15" hidden="false" customHeight="false" outlineLevel="0" collapsed="false">
      <c r="A50" s="5" t="s">
        <v>74</v>
      </c>
      <c r="B50" s="10" t="n">
        <f aca="false">$B$5+$B$13+$B$22</f>
        <v>9906007.14285714</v>
      </c>
      <c r="C50" s="2"/>
      <c r="D50" s="2"/>
    </row>
    <row r="51" customFormat="false" ht="15" hidden="false" customHeight="false" outlineLevel="0" collapsed="false">
      <c r="A51" s="11" t="s">
        <v>14</v>
      </c>
      <c r="B51" s="15" t="n">
        <f aca="false">IF($B$50&lt;&gt;0,$B$49/$B$50,0)</f>
        <v>-0.0348126324502953</v>
      </c>
      <c r="C51" s="2"/>
      <c r="D51" s="2"/>
    </row>
    <row r="52" customFormat="false" ht="15" hidden="false" customHeight="false" outlineLevel="0" collapsed="false">
      <c r="A52" s="11" t="s">
        <v>75</v>
      </c>
      <c r="B52" s="13" t="n">
        <f aca="false">MAX(0,Припущення!$B$42*$B$50-$B$49)</f>
        <v>2326055.61428572</v>
      </c>
      <c r="C52" s="2"/>
      <c r="D52" s="2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60"/>
    <col collapsed="false" customWidth="true" hidden="false" outlineLevel="0" max="10" min="5" style="0" width="13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20" t="s">
        <v>77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45" hidden="false" customHeight="true" outlineLevel="0" collapsed="false">
      <c r="A4" s="4" t="s">
        <v>78</v>
      </c>
      <c r="B4" s="4" t="s">
        <v>79</v>
      </c>
      <c r="C4" s="4" t="s">
        <v>80</v>
      </c>
      <c r="D4" s="4" t="s">
        <v>81</v>
      </c>
      <c r="E4" s="4" t="s">
        <v>82</v>
      </c>
      <c r="F4" s="4" t="s">
        <v>83</v>
      </c>
      <c r="G4" s="4" t="s">
        <v>84</v>
      </c>
      <c r="H4" s="4" t="s">
        <v>85</v>
      </c>
      <c r="I4" s="4" t="s">
        <v>86</v>
      </c>
      <c r="J4" s="4" t="s">
        <v>87</v>
      </c>
      <c r="K4" s="4" t="s">
        <v>88</v>
      </c>
    </row>
    <row r="5" customFormat="false" ht="15" hidden="false" customHeight="false" outlineLevel="0" collapsed="false">
      <c r="A5" s="5" t="s">
        <v>89</v>
      </c>
      <c r="B5" s="29" t="n">
        <v>61.5</v>
      </c>
      <c r="C5" s="30" t="n">
        <v>2</v>
      </c>
      <c r="D5" s="30" t="n">
        <v>3</v>
      </c>
      <c r="E5" s="30" t="n">
        <v>1</v>
      </c>
      <c r="F5" s="30" t="n">
        <v>61</v>
      </c>
      <c r="G5" s="5" t="str">
        <f aca="false">IF(B5&gt;=F5,"Так","НІ")</f>
        <v>Так</v>
      </c>
      <c r="H5" s="23" t="n">
        <v>4880</v>
      </c>
      <c r="I5" s="10" t="n">
        <f aca="false">B5*H5</f>
        <v>300120</v>
      </c>
      <c r="J5" s="28" t="n">
        <v>340</v>
      </c>
      <c r="K5" s="5" t="s">
        <v>90</v>
      </c>
    </row>
    <row r="6" customFormat="false" ht="15" hidden="false" customHeight="false" outlineLevel="0" collapsed="false">
      <c r="A6" s="5" t="s">
        <v>91</v>
      </c>
      <c r="B6" s="29" t="n">
        <v>71</v>
      </c>
      <c r="C6" s="30" t="n">
        <v>2</v>
      </c>
      <c r="D6" s="30" t="n">
        <v>4</v>
      </c>
      <c r="E6" s="30" t="n">
        <v>1</v>
      </c>
      <c r="F6" s="30" t="n">
        <v>70</v>
      </c>
      <c r="G6" s="5" t="str">
        <f aca="false">IF(B6&gt;=F6,"Так","НІ")</f>
        <v>Так</v>
      </c>
      <c r="H6" s="23" t="n">
        <v>4650</v>
      </c>
      <c r="I6" s="10" t="n">
        <f aca="false">B6*H6</f>
        <v>330150</v>
      </c>
      <c r="J6" s="28" t="n">
        <v>370</v>
      </c>
      <c r="K6" s="5" t="s">
        <v>92</v>
      </c>
    </row>
    <row r="7" customFormat="false" ht="15" hidden="false" customHeight="false" outlineLevel="0" collapsed="false">
      <c r="A7" s="5" t="s">
        <v>93</v>
      </c>
      <c r="B7" s="29" t="n">
        <v>140</v>
      </c>
      <c r="C7" s="30" t="n">
        <v>3</v>
      </c>
      <c r="D7" s="30" t="n">
        <v>6</v>
      </c>
      <c r="E7" s="30" t="n">
        <v>1</v>
      </c>
      <c r="F7" s="30" t="n">
        <v>95</v>
      </c>
      <c r="G7" s="5" t="str">
        <f aca="false">IF(B7&gt;=F7,"Так","НІ")</f>
        <v>Так</v>
      </c>
      <c r="H7" s="23" t="n">
        <v>4640</v>
      </c>
      <c r="I7" s="10" t="n">
        <f aca="false">B7*H7</f>
        <v>649600</v>
      </c>
      <c r="J7" s="28" t="n">
        <v>560</v>
      </c>
      <c r="K7" s="5" t="s">
        <v>94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3" t="s">
        <v>95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1" t="s">
        <v>96</v>
      </c>
      <c r="B11" s="22"/>
      <c r="C11" s="22"/>
      <c r="D11" s="2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5" t="s">
        <v>97</v>
      </c>
      <c r="B12" s="28" t="n">
        <v>14245</v>
      </c>
      <c r="C12" s="5" t="s">
        <v>98</v>
      </c>
      <c r="D12" s="5" t="s">
        <v>99</v>
      </c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5" t="s">
        <v>100</v>
      </c>
      <c r="B13" s="27" t="n">
        <v>0.18</v>
      </c>
      <c r="C13" s="5" t="s">
        <v>101</v>
      </c>
      <c r="D13" s="5" t="s">
        <v>102</v>
      </c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5" t="s">
        <v>103</v>
      </c>
      <c r="B14" s="27" t="n">
        <v>0.1</v>
      </c>
      <c r="C14" s="5" t="s">
        <v>101</v>
      </c>
      <c r="D14" s="5" t="s">
        <v>104</v>
      </c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5" t="s">
        <v>105</v>
      </c>
      <c r="B15" s="27" t="n">
        <v>0.06</v>
      </c>
      <c r="C15" s="5" t="s">
        <v>101</v>
      </c>
      <c r="D15" s="5" t="s">
        <v>106</v>
      </c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5" t="s">
        <v>107</v>
      </c>
      <c r="B16" s="28" t="n">
        <v>900</v>
      </c>
      <c r="C16" s="5" t="s">
        <v>98</v>
      </c>
      <c r="D16" s="5" t="s">
        <v>108</v>
      </c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1" t="s">
        <v>109</v>
      </c>
      <c r="B18" s="22"/>
      <c r="C18" s="22"/>
      <c r="D18" s="2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5" t="s">
        <v>110</v>
      </c>
      <c r="B19" s="25" t="n">
        <v>0.3</v>
      </c>
      <c r="C19" s="5" t="s">
        <v>111</v>
      </c>
      <c r="D19" s="5" t="s">
        <v>112</v>
      </c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5" t="s">
        <v>113</v>
      </c>
      <c r="B20" s="25" t="n">
        <v>0.6</v>
      </c>
      <c r="C20" s="5" t="s">
        <v>114</v>
      </c>
      <c r="D20" s="5" t="s">
        <v>115</v>
      </c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21" t="s">
        <v>116</v>
      </c>
      <c r="B22" s="22"/>
      <c r="C22" s="22"/>
      <c r="D22" s="2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5" t="s">
        <v>117</v>
      </c>
      <c r="B23" s="23" t="n">
        <v>2400</v>
      </c>
      <c r="C23" s="5" t="s">
        <v>118</v>
      </c>
      <c r="D23" s="5" t="s">
        <v>119</v>
      </c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5" t="s">
        <v>120</v>
      </c>
      <c r="B24" s="26" t="n">
        <v>3000</v>
      </c>
      <c r="C24" s="5" t="s">
        <v>118</v>
      </c>
      <c r="D24" s="5" t="s">
        <v>121</v>
      </c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5" t="s">
        <v>122</v>
      </c>
      <c r="B25" s="27" t="n">
        <v>0.15</v>
      </c>
      <c r="C25" s="5" t="s">
        <v>123</v>
      </c>
      <c r="D25" s="5" t="s">
        <v>124</v>
      </c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5" t="s">
        <v>125</v>
      </c>
      <c r="B26" s="27" t="n">
        <v>0.05</v>
      </c>
      <c r="C26" s="5" t="s">
        <v>126</v>
      </c>
      <c r="D26" s="5" t="s">
        <v>127</v>
      </c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5" t="s">
        <v>128</v>
      </c>
      <c r="B27" s="27" t="n">
        <v>0.1</v>
      </c>
      <c r="C27" s="5" t="s">
        <v>126</v>
      </c>
      <c r="D27" s="5" t="s">
        <v>127</v>
      </c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5" t="s">
        <v>129</v>
      </c>
      <c r="B28" s="26" t="n">
        <v>15000</v>
      </c>
      <c r="C28" s="5" t="s">
        <v>130</v>
      </c>
      <c r="D28" s="5" t="s">
        <v>131</v>
      </c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5" t="s">
        <v>132</v>
      </c>
      <c r="B29" s="26" t="n">
        <v>160</v>
      </c>
      <c r="C29" s="5" t="s">
        <v>130</v>
      </c>
      <c r="D29" s="5" t="s">
        <v>133</v>
      </c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5" t="s">
        <v>134</v>
      </c>
      <c r="B30" s="26" t="n">
        <v>50000</v>
      </c>
      <c r="C30" s="5" t="s">
        <v>135</v>
      </c>
      <c r="D30" s="5" t="s">
        <v>127</v>
      </c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21" t="s">
        <v>136</v>
      </c>
      <c r="B32" s="22"/>
      <c r="C32" s="22"/>
      <c r="D32" s="2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5" t="s">
        <v>137</v>
      </c>
      <c r="B33" s="27" t="n">
        <v>0.025</v>
      </c>
      <c r="C33" s="5" t="s">
        <v>138</v>
      </c>
      <c r="D33" s="5" t="s">
        <v>127</v>
      </c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5" t="s">
        <v>139</v>
      </c>
      <c r="B34" s="26" t="n">
        <v>1500</v>
      </c>
      <c r="C34" s="5" t="s">
        <v>130</v>
      </c>
      <c r="D34" s="5" t="s">
        <v>127</v>
      </c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5" t="s">
        <v>140</v>
      </c>
      <c r="B35" s="27" t="n">
        <v>0.09</v>
      </c>
      <c r="C35" s="5" t="s">
        <v>141</v>
      </c>
      <c r="D35" s="5" t="s">
        <v>127</v>
      </c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5" t="s">
        <v>142</v>
      </c>
      <c r="B36" s="27" t="n">
        <v>0.5</v>
      </c>
      <c r="C36" s="5" t="s">
        <v>143</v>
      </c>
      <c r="D36" s="5" t="s">
        <v>144</v>
      </c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5" t="s">
        <v>145</v>
      </c>
      <c r="B37" s="28" t="n">
        <v>24</v>
      </c>
      <c r="C37" s="5" t="s">
        <v>146</v>
      </c>
      <c r="D37" s="5" t="s">
        <v>127</v>
      </c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21" t="s">
        <v>147</v>
      </c>
      <c r="B39" s="22"/>
      <c r="C39" s="22"/>
      <c r="D39" s="22"/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5" t="s">
        <v>148</v>
      </c>
      <c r="B40" s="23" t="n">
        <v>1500000</v>
      </c>
      <c r="C40" s="5" t="s">
        <v>149</v>
      </c>
      <c r="D40" s="5" t="s">
        <v>150</v>
      </c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5" t="s">
        <v>151</v>
      </c>
      <c r="B41" s="27" t="n">
        <v>0.06</v>
      </c>
      <c r="C41" s="5" t="s">
        <v>152</v>
      </c>
      <c r="D41" s="5" t="s">
        <v>153</v>
      </c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5" t="s">
        <v>154</v>
      </c>
      <c r="B42" s="27" t="n">
        <v>0.2</v>
      </c>
      <c r="C42" s="5" t="s">
        <v>138</v>
      </c>
      <c r="D42" s="5" t="s">
        <v>155</v>
      </c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21" t="s">
        <v>156</v>
      </c>
      <c r="B44" s="22"/>
      <c r="C44" s="22"/>
      <c r="D44" s="2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5" t="s">
        <v>157</v>
      </c>
      <c r="B45" s="28" t="n">
        <v>350</v>
      </c>
      <c r="C45" s="5" t="s">
        <v>98</v>
      </c>
      <c r="D45" s="5" t="s">
        <v>158</v>
      </c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5" t="s">
        <v>159</v>
      </c>
      <c r="B46" s="28" t="n">
        <v>175</v>
      </c>
      <c r="C46" s="5" t="s">
        <v>98</v>
      </c>
      <c r="D46" s="5" t="s">
        <v>160</v>
      </c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5" t="s">
        <v>161</v>
      </c>
      <c r="B47" s="26" t="n">
        <v>150</v>
      </c>
      <c r="C47" s="5" t="s">
        <v>162</v>
      </c>
      <c r="D47" s="5" t="s">
        <v>163</v>
      </c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5" t="s">
        <v>164</v>
      </c>
      <c r="B48" s="27" t="n">
        <v>0.075</v>
      </c>
      <c r="C48" s="5" t="s">
        <v>165</v>
      </c>
      <c r="D48" s="5" t="s">
        <v>166</v>
      </c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5" t="s">
        <v>167</v>
      </c>
      <c r="B49" s="28" t="n">
        <v>4</v>
      </c>
      <c r="C49" s="5" t="s">
        <v>168</v>
      </c>
      <c r="D49" s="5" t="s">
        <v>160</v>
      </c>
      <c r="E49" s="2"/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5" t="s">
        <v>169</v>
      </c>
      <c r="B50" s="26" t="n">
        <v>220000</v>
      </c>
      <c r="C50" s="5" t="s">
        <v>170</v>
      </c>
      <c r="D50" s="5" t="s">
        <v>127</v>
      </c>
      <c r="E50" s="2"/>
      <c r="F50" s="2"/>
      <c r="G50" s="2"/>
      <c r="H50" s="2"/>
      <c r="I50" s="2"/>
      <c r="J50" s="2"/>
      <c r="K50" s="2"/>
    </row>
  </sheetData>
  <mergeCells count="2">
    <mergeCell ref="A2:K2"/>
    <mergeCell ref="A9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171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172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4" t="s">
        <v>78</v>
      </c>
      <c r="B4" s="4" t="s">
        <v>173</v>
      </c>
      <c r="C4" s="4" t="s">
        <v>174</v>
      </c>
      <c r="D4" s="4" t="s">
        <v>86</v>
      </c>
      <c r="E4" s="4" t="s">
        <v>175</v>
      </c>
      <c r="F4" s="4" t="s">
        <v>176</v>
      </c>
    </row>
    <row r="5" customFormat="false" ht="15" hidden="false" customHeight="false" outlineLevel="0" collapsed="false">
      <c r="A5" s="31" t="str">
        <f aca="false">Припущення!$A$5</f>
        <v>Lake House Compact 61</v>
      </c>
      <c r="B5" s="28" t="n">
        <v>9</v>
      </c>
      <c r="C5" s="32" t="n">
        <f aca="false">B5*Припущення!$B$5</f>
        <v>553.5</v>
      </c>
      <c r="D5" s="9" t="n">
        <f aca="false">Припущення!$I$5</f>
        <v>300120</v>
      </c>
      <c r="E5" s="10" t="n">
        <f aca="false">B5*D5</f>
        <v>2701080</v>
      </c>
      <c r="F5" s="7" t="n">
        <f aca="false">B5*Припущення!$J$5</f>
        <v>3060</v>
      </c>
    </row>
    <row r="6" customFormat="false" ht="15" hidden="false" customHeight="false" outlineLevel="0" collapsed="false">
      <c r="A6" s="31" t="str">
        <f aca="false">Припущення!$A$6</f>
        <v>Meadow 71</v>
      </c>
      <c r="B6" s="28" t="n">
        <v>9</v>
      </c>
      <c r="C6" s="32" t="n">
        <f aca="false">B6*Припущення!$B$6</f>
        <v>639</v>
      </c>
      <c r="D6" s="9" t="n">
        <f aca="false">Припущення!$I$6</f>
        <v>330150</v>
      </c>
      <c r="E6" s="10" t="n">
        <f aca="false">B6*D6</f>
        <v>2971350</v>
      </c>
      <c r="F6" s="7" t="n">
        <f aca="false">B6*Припущення!$J$6</f>
        <v>3330</v>
      </c>
    </row>
    <row r="7" customFormat="false" ht="15" hidden="false" customHeight="false" outlineLevel="0" collapsed="false">
      <c r="A7" s="31" t="str">
        <f aca="false">Припущення!$A$7</f>
        <v>Country 140</v>
      </c>
      <c r="B7" s="28" t="n">
        <v>7</v>
      </c>
      <c r="C7" s="32" t="n">
        <f aca="false">B7*Припущення!$B$7</f>
        <v>980</v>
      </c>
      <c r="D7" s="9" t="n">
        <f aca="false">Припущення!$I$7</f>
        <v>649600</v>
      </c>
      <c r="E7" s="10" t="n">
        <f aca="false">B7*D7</f>
        <v>4547200</v>
      </c>
      <c r="F7" s="7" t="n">
        <f aca="false">B7*Припущення!$J$7</f>
        <v>3920</v>
      </c>
    </row>
    <row r="8" customFormat="false" ht="15" hidden="false" customHeight="false" outlineLevel="0" collapsed="false">
      <c r="A8" s="11" t="s">
        <v>177</v>
      </c>
      <c r="B8" s="33" t="n">
        <f aca="false">SUM(B5:B7)</f>
        <v>25</v>
      </c>
      <c r="C8" s="34" t="n">
        <f aca="false">SUM(C5:C7)</f>
        <v>2172.5</v>
      </c>
      <c r="D8" s="35"/>
      <c r="E8" s="13" t="n">
        <f aca="false">SUM(E5:E7)</f>
        <v>10219630</v>
      </c>
      <c r="F8" s="33" t="n">
        <f aca="false">SUM(F5:F7)</f>
        <v>10310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1" t="s">
        <v>178</v>
      </c>
      <c r="B10" s="22"/>
      <c r="C10" s="22"/>
      <c r="D10" s="22"/>
      <c r="E10" s="22"/>
      <c r="F10" s="22"/>
    </row>
    <row r="11" customFormat="false" ht="15" hidden="false" customHeight="false" outlineLevel="0" collapsed="false">
      <c r="A11" s="5" t="s">
        <v>179</v>
      </c>
      <c r="B11" s="28" t="n">
        <v>0</v>
      </c>
      <c r="C11" s="2"/>
      <c r="D11" s="2"/>
      <c r="E11" s="2"/>
      <c r="F11" s="2"/>
    </row>
    <row r="12" customFormat="false" ht="15" hidden="false" customHeight="false" outlineLevel="0" collapsed="false">
      <c r="A12" s="5" t="s">
        <v>180</v>
      </c>
      <c r="B12" s="25" t="n">
        <v>0.85</v>
      </c>
      <c r="C12" s="24" t="s">
        <v>181</v>
      </c>
      <c r="D12" s="2"/>
      <c r="E12" s="2"/>
      <c r="F12" s="2"/>
    </row>
    <row r="13" customFormat="false" ht="15" hidden="false" customHeight="false" outlineLevel="0" collapsed="false">
      <c r="A13" s="5" t="s">
        <v>182</v>
      </c>
      <c r="B13" s="28" t="n">
        <v>0</v>
      </c>
      <c r="C13" s="24" t="s">
        <v>183</v>
      </c>
      <c r="D13" s="2"/>
      <c r="E13" s="2"/>
      <c r="F13" s="2"/>
    </row>
    <row r="14" customFormat="false" ht="15" hidden="false" customHeight="false" outlineLevel="0" collapsed="false">
      <c r="A14" s="5" t="s">
        <v>184</v>
      </c>
      <c r="B14" s="26" t="n">
        <v>100000</v>
      </c>
      <c r="C14" s="24" t="s">
        <v>185</v>
      </c>
      <c r="D14" s="2"/>
      <c r="E14" s="2"/>
      <c r="F14" s="2"/>
    </row>
    <row r="15" customFormat="false" ht="15" hidden="false" customHeight="false" outlineLevel="0" collapsed="false">
      <c r="A15" s="5" t="s">
        <v>186</v>
      </c>
      <c r="B15" s="7" t="n">
        <f aca="false">B8+$B$11*Припущення!$B$49</f>
        <v>25</v>
      </c>
      <c r="C15" s="24" t="s">
        <v>187</v>
      </c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21" t="s">
        <v>188</v>
      </c>
      <c r="B17" s="22"/>
      <c r="C17" s="22"/>
      <c r="D17" s="22"/>
      <c r="E17" s="22"/>
      <c r="F17" s="22"/>
    </row>
    <row r="18" customFormat="false" ht="15" hidden="false" customHeight="false" outlineLevel="0" collapsed="false">
      <c r="A18" s="5" t="s">
        <v>189</v>
      </c>
      <c r="B18" s="7" t="n">
        <f aca="false">F8</f>
        <v>10310</v>
      </c>
      <c r="C18" s="2"/>
      <c r="D18" s="2"/>
      <c r="E18" s="2"/>
      <c r="F18" s="2"/>
    </row>
    <row r="19" customFormat="false" ht="15" hidden="false" customHeight="false" outlineLevel="0" collapsed="false">
      <c r="A19" s="5" t="s">
        <v>190</v>
      </c>
      <c r="B19" s="6" t="n">
        <f aca="false">Припущення!$B$12*Припущення!$B$13</f>
        <v>2564.1</v>
      </c>
      <c r="C19" s="2"/>
      <c r="D19" s="2"/>
      <c r="E19" s="2"/>
      <c r="F19" s="2"/>
    </row>
    <row r="20" customFormat="false" ht="15" hidden="false" customHeight="false" outlineLevel="0" collapsed="false">
      <c r="A20" s="5" t="s">
        <v>191</v>
      </c>
      <c r="B20" s="6" t="n">
        <f aca="false">Припущення!$B$12*Припущення!$B$14</f>
        <v>1424.5</v>
      </c>
      <c r="C20" s="2"/>
      <c r="D20" s="2"/>
      <c r="E20" s="2"/>
      <c r="F20" s="2"/>
    </row>
    <row r="21" customFormat="false" ht="15" hidden="false" customHeight="false" outlineLevel="0" collapsed="false">
      <c r="A21" s="5" t="s">
        <v>192</v>
      </c>
      <c r="B21" s="6" t="n">
        <f aca="false">Припущення!$B$12*Припущення!$B$15</f>
        <v>854.7</v>
      </c>
      <c r="C21" s="2"/>
      <c r="D21" s="2"/>
      <c r="E21" s="2"/>
      <c r="F21" s="2"/>
    </row>
    <row r="22" customFormat="false" ht="15" hidden="false" customHeight="false" outlineLevel="0" collapsed="false">
      <c r="A22" s="5" t="s">
        <v>193</v>
      </c>
      <c r="B22" s="7" t="n">
        <f aca="false">$B$11*Припущення!$B$16</f>
        <v>0</v>
      </c>
      <c r="C22" s="2"/>
      <c r="D22" s="2"/>
      <c r="E22" s="2"/>
      <c r="F22" s="2"/>
    </row>
    <row r="23" customFormat="false" ht="15" hidden="false" customHeight="false" outlineLevel="0" collapsed="false">
      <c r="A23" s="11" t="s">
        <v>194</v>
      </c>
      <c r="B23" s="33" t="n">
        <f aca="false">SUM($B$18:$B$22)</f>
        <v>15153.3</v>
      </c>
      <c r="C23" s="2"/>
      <c r="D23" s="2"/>
      <c r="E23" s="2"/>
      <c r="F23" s="2"/>
    </row>
    <row r="24" customFormat="false" ht="15" hidden="false" customHeight="false" outlineLevel="0" collapsed="false">
      <c r="A24" s="5" t="s">
        <v>195</v>
      </c>
      <c r="B24" s="6" t="n">
        <f aca="false">Припущення!$B$12</f>
        <v>14245</v>
      </c>
      <c r="C24" s="2"/>
      <c r="D24" s="2"/>
      <c r="E24" s="2"/>
      <c r="F24" s="2"/>
    </row>
    <row r="25" customFormat="false" ht="15" hidden="false" customHeight="false" outlineLevel="0" collapsed="false">
      <c r="A25" s="11" t="s">
        <v>196</v>
      </c>
      <c r="B25" s="33" t="n">
        <f aca="false">$B$24-$B$23</f>
        <v>-908.300000000001</v>
      </c>
      <c r="C25" s="2"/>
      <c r="D25" s="2"/>
      <c r="E25" s="2"/>
      <c r="F25" s="2"/>
    </row>
    <row r="26" customFormat="false" ht="15" hidden="false" customHeight="false" outlineLevel="0" collapsed="false">
      <c r="A26" s="11" t="s">
        <v>197</v>
      </c>
      <c r="B26" s="36" t="str">
        <f aca="false">IF($B$25&gt;=0,"Вміщується","НЕ ВМІЩУЄТЬСЯ")</f>
        <v>НЕ ВМІЩУЄТЬСЯ</v>
      </c>
      <c r="C26" s="2"/>
      <c r="D26" s="2"/>
      <c r="E26" s="2"/>
      <c r="F26" s="2"/>
    </row>
    <row r="27" customFormat="false" ht="15" hidden="false" customHeight="false" outlineLevel="0" collapsed="false">
      <c r="A27" s="5" t="s">
        <v>9</v>
      </c>
      <c r="B27" s="7" t="n">
        <f aca="false">IF(B8&gt;0,F8/B8,0)</f>
        <v>412.4</v>
      </c>
      <c r="C27" s="2"/>
      <c r="D27" s="2"/>
      <c r="E27" s="2"/>
      <c r="F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1" t="s">
        <v>198</v>
      </c>
      <c r="B29" s="22"/>
      <c r="C29" s="22"/>
      <c r="D29" s="22"/>
      <c r="E29" s="22"/>
      <c r="F29" s="22"/>
    </row>
    <row r="30" customFormat="false" ht="15" hidden="false" customHeight="false" outlineLevel="0" collapsed="false">
      <c r="A30" s="5" t="s">
        <v>199</v>
      </c>
      <c r="B30" s="10" t="n">
        <f aca="false">E8</f>
        <v>10219630</v>
      </c>
      <c r="C30" s="2"/>
      <c r="D30" s="2"/>
      <c r="E30" s="2"/>
      <c r="F30" s="2"/>
    </row>
    <row r="31" customFormat="false" ht="15" hidden="false" customHeight="false" outlineLevel="0" collapsed="false">
      <c r="A31" s="5" t="s">
        <v>200</v>
      </c>
      <c r="B31" s="7" t="n">
        <f aca="false">ROUNDUP($B$15*Припущення!$B$19,0)</f>
        <v>8</v>
      </c>
      <c r="C31" s="24" t="s">
        <v>201</v>
      </c>
      <c r="D31" s="2"/>
      <c r="E31" s="2"/>
      <c r="F31" s="2"/>
    </row>
    <row r="32" customFormat="false" ht="15" hidden="false" customHeight="false" outlineLevel="0" collapsed="false">
      <c r="A32" s="5" t="s">
        <v>202</v>
      </c>
      <c r="B32" s="7" t="n">
        <f aca="false">MIN($B$31,B6)</f>
        <v>8</v>
      </c>
      <c r="C32" s="2"/>
      <c r="D32" s="2"/>
      <c r="E32" s="2"/>
      <c r="F32" s="2"/>
    </row>
    <row r="33" customFormat="false" ht="15" hidden="false" customHeight="false" outlineLevel="0" collapsed="false">
      <c r="A33" s="5" t="s">
        <v>203</v>
      </c>
      <c r="B33" s="37" t="str">
        <f aca="false">IF($B$32&lt;$B$31,"Meadow замало — потрібні інші типи","OK")</f>
        <v>OK</v>
      </c>
      <c r="C33" s="2"/>
      <c r="D33" s="2"/>
      <c r="E33" s="2"/>
      <c r="F33" s="2"/>
    </row>
    <row r="34" customFormat="false" ht="15" hidden="false" customHeight="false" outlineLevel="0" collapsed="false">
      <c r="A34" s="5" t="s">
        <v>204</v>
      </c>
      <c r="B34" s="10" t="n">
        <f aca="false">-$B$31*D6*(1-Припущення!$B$20)</f>
        <v>-1056480</v>
      </c>
      <c r="C34" s="24" t="s">
        <v>205</v>
      </c>
      <c r="D34" s="2"/>
      <c r="E34" s="2"/>
      <c r="F34" s="2"/>
    </row>
    <row r="35" customFormat="false" ht="15" hidden="false" customHeight="false" outlineLevel="0" collapsed="false">
      <c r="A35" s="5" t="s">
        <v>206</v>
      </c>
      <c r="B35" s="10" t="n">
        <f aca="false">$B$11*Припущення!$B$46*Припущення!$B$47/Припущення!$B$48</f>
        <v>0</v>
      </c>
      <c r="C35" s="2"/>
      <c r="D35" s="2"/>
      <c r="E35" s="2"/>
      <c r="F35" s="2"/>
    </row>
    <row r="36" customFormat="false" ht="15" hidden="false" customHeight="false" outlineLevel="0" collapsed="false">
      <c r="A36" s="5" t="s">
        <v>207</v>
      </c>
      <c r="B36" s="10" t="n">
        <f aca="false">$B$11*Припущення!$B$49*Припущення!$B$50</f>
        <v>0</v>
      </c>
      <c r="C36" s="2"/>
      <c r="D36" s="2"/>
      <c r="E36" s="2"/>
      <c r="F36" s="2"/>
    </row>
    <row r="37" customFormat="false" ht="15" hidden="false" customHeight="false" outlineLevel="0" collapsed="false">
      <c r="A37" s="11" t="s">
        <v>208</v>
      </c>
      <c r="B37" s="13" t="n">
        <f aca="false">SUM($B$30,$B$34,$B$35,$B$36)</f>
        <v>9163150</v>
      </c>
      <c r="C37" s="2"/>
      <c r="D37" s="2"/>
      <c r="E37" s="2"/>
      <c r="F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</row>
    <row r="39" customFormat="false" ht="15" hidden="false" customHeight="false" outlineLevel="0" collapsed="false">
      <c r="A39" s="21" t="s">
        <v>209</v>
      </c>
      <c r="B39" s="22"/>
      <c r="C39" s="22"/>
      <c r="D39" s="22"/>
      <c r="E39" s="22"/>
      <c r="F39" s="22"/>
    </row>
    <row r="40" customFormat="false" ht="15" hidden="false" customHeight="false" outlineLevel="0" collapsed="false">
      <c r="A40" s="5" t="s">
        <v>117</v>
      </c>
      <c r="B40" s="10" t="n">
        <f aca="false">C8*Припущення!$B$23</f>
        <v>5214000</v>
      </c>
      <c r="C40" s="2"/>
      <c r="D40" s="2"/>
      <c r="E40" s="2"/>
      <c r="F40" s="2"/>
    </row>
    <row r="41" customFormat="false" ht="15" hidden="false" customHeight="false" outlineLevel="0" collapsed="false">
      <c r="A41" s="5" t="s">
        <v>210</v>
      </c>
      <c r="B41" s="10" t="n">
        <f aca="false">$B$11*Припущення!$B$45*Припущення!$B$24</f>
        <v>0</v>
      </c>
      <c r="C41" s="2"/>
      <c r="D41" s="2"/>
      <c r="E41" s="2"/>
      <c r="F41" s="2"/>
    </row>
    <row r="42" customFormat="false" ht="15" hidden="false" customHeight="false" outlineLevel="0" collapsed="false">
      <c r="A42" s="5" t="s">
        <v>122</v>
      </c>
      <c r="B42" s="10" t="n">
        <f aca="false">($B$40+$B$41)*Припущення!$B$25</f>
        <v>782100</v>
      </c>
      <c r="C42" s="2"/>
      <c r="D42" s="2"/>
      <c r="E42" s="2"/>
      <c r="F42" s="2"/>
    </row>
    <row r="43" customFormat="false" ht="15" hidden="false" customHeight="false" outlineLevel="0" collapsed="false">
      <c r="A43" s="5" t="s">
        <v>211</v>
      </c>
      <c r="B43" s="10" t="n">
        <f aca="false">($B$40+$B$41+$B$42)*Припущення!$B$26</f>
        <v>299805</v>
      </c>
      <c r="C43" s="2"/>
      <c r="D43" s="2"/>
      <c r="E43" s="2"/>
      <c r="F43" s="2"/>
    </row>
    <row r="44" customFormat="false" ht="15" hidden="false" customHeight="false" outlineLevel="0" collapsed="false">
      <c r="A44" s="5" t="s">
        <v>128</v>
      </c>
      <c r="B44" s="10" t="n">
        <f aca="false">($B$40+$B$41+$B$42)*Припущення!$B$27</f>
        <v>599610</v>
      </c>
      <c r="C44" s="2"/>
      <c r="D44" s="2"/>
      <c r="E44" s="2"/>
      <c r="F44" s="2"/>
    </row>
    <row r="45" customFormat="false" ht="15" hidden="false" customHeight="false" outlineLevel="0" collapsed="false">
      <c r="A45" s="5" t="s">
        <v>212</v>
      </c>
      <c r="B45" s="10" t="n">
        <f aca="false">$B$15*Припущення!$B$28</f>
        <v>375000</v>
      </c>
      <c r="C45" s="2"/>
      <c r="D45" s="2"/>
      <c r="E45" s="2"/>
      <c r="F45" s="2"/>
    </row>
    <row r="46" customFormat="false" ht="15" hidden="false" customHeight="false" outlineLevel="0" collapsed="false">
      <c r="A46" s="5" t="s">
        <v>213</v>
      </c>
      <c r="B46" s="10" t="n">
        <f aca="false">$B$15*Припущення!$B$29</f>
        <v>4000</v>
      </c>
      <c r="C46" s="2"/>
      <c r="D46" s="2"/>
      <c r="E46" s="2"/>
      <c r="F46" s="2"/>
    </row>
    <row r="47" customFormat="false" ht="15" hidden="false" customHeight="false" outlineLevel="0" collapsed="false">
      <c r="A47" s="5" t="s">
        <v>214</v>
      </c>
      <c r="B47" s="9" t="n">
        <f aca="false">Припущення!$B$30</f>
        <v>50000</v>
      </c>
      <c r="C47" s="2"/>
      <c r="D47" s="2"/>
      <c r="E47" s="2"/>
      <c r="F47" s="2"/>
    </row>
    <row r="48" customFormat="false" ht="15" hidden="false" customHeight="false" outlineLevel="0" collapsed="false">
      <c r="A48" s="5" t="s">
        <v>137</v>
      </c>
      <c r="B48" s="10" t="n">
        <f aca="false">$B$37*Припущення!$B$33</f>
        <v>229078.75</v>
      </c>
      <c r="C48" s="2"/>
      <c r="D48" s="2"/>
      <c r="E48" s="2"/>
      <c r="F48" s="2"/>
    </row>
    <row r="49" customFormat="false" ht="15" hidden="false" customHeight="false" outlineLevel="0" collapsed="false">
      <c r="A49" s="5" t="s">
        <v>215</v>
      </c>
      <c r="B49" s="10" t="n">
        <f aca="false">$B$15*Припущення!$B$34</f>
        <v>37500</v>
      </c>
      <c r="C49" s="2"/>
      <c r="D49" s="2"/>
      <c r="E49" s="2"/>
      <c r="F49" s="2"/>
    </row>
    <row r="50" customFormat="false" ht="15" hidden="false" customHeight="false" outlineLevel="0" collapsed="false">
      <c r="A50" s="5" t="s">
        <v>216</v>
      </c>
      <c r="B50" s="9" t="n">
        <f aca="false">Припущення!$B$40</f>
        <v>1500000</v>
      </c>
      <c r="C50" s="2"/>
      <c r="D50" s="2"/>
      <c r="E50" s="2"/>
      <c r="F50" s="2"/>
    </row>
    <row r="51" customFormat="false" ht="15" hidden="false" customHeight="false" outlineLevel="0" collapsed="false">
      <c r="A51" s="5" t="s">
        <v>151</v>
      </c>
      <c r="B51" s="10" t="n">
        <f aca="false">$B$50*Припущення!$B$41</f>
        <v>90000</v>
      </c>
      <c r="C51" s="2"/>
      <c r="D51" s="2"/>
      <c r="E51" s="2"/>
      <c r="F51" s="2"/>
    </row>
    <row r="52" customFormat="false" ht="15" hidden="false" customHeight="false" outlineLevel="0" collapsed="false">
      <c r="A52" s="5" t="s">
        <v>217</v>
      </c>
      <c r="B52" s="10" t="n">
        <f aca="false">Припущення!$B$35*(Припущення!$B$36*SUM($B$40:$B$49)*Припущення!$B$37/12+($B$50+$B$51)*(Припущення!$B$37+$B$13)/12)</f>
        <v>969398.4375</v>
      </c>
      <c r="C52" s="24" t="s">
        <v>218</v>
      </c>
      <c r="D52" s="2"/>
      <c r="E52" s="2"/>
      <c r="F52" s="2"/>
    </row>
    <row r="53" customFormat="false" ht="15" hidden="false" customHeight="false" outlineLevel="0" collapsed="false">
      <c r="A53" s="11" t="s">
        <v>219</v>
      </c>
      <c r="B53" s="13" t="n">
        <f aca="false">SUM($B$40:$B$52)</f>
        <v>10150492.1875</v>
      </c>
      <c r="C53" s="2"/>
      <c r="D53" s="2"/>
      <c r="E53" s="2"/>
      <c r="F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</row>
    <row r="55" customFormat="false" ht="15" hidden="false" customHeight="false" outlineLevel="0" collapsed="false">
      <c r="A55" s="21" t="s">
        <v>220</v>
      </c>
      <c r="B55" s="22"/>
      <c r="C55" s="22"/>
      <c r="D55" s="22"/>
      <c r="E55" s="22"/>
      <c r="F55" s="22"/>
    </row>
    <row r="56" customFormat="false" ht="15" hidden="false" customHeight="false" outlineLevel="0" collapsed="false">
      <c r="A56" s="11" t="s">
        <v>221</v>
      </c>
      <c r="B56" s="13" t="n">
        <f aca="false">$B$37-$B$53</f>
        <v>-987342.1875</v>
      </c>
      <c r="C56" s="2"/>
      <c r="D56" s="2"/>
      <c r="E56" s="2"/>
      <c r="F56" s="2"/>
    </row>
    <row r="57" customFormat="false" ht="15" hidden="false" customHeight="false" outlineLevel="0" collapsed="false">
      <c r="A57" s="11" t="s">
        <v>14</v>
      </c>
      <c r="B57" s="15" t="n">
        <f aca="false">IF($B$37&lt;&gt;0,$B$56/$B$37,0)</f>
        <v>-0.107751394171218</v>
      </c>
      <c r="C57" s="2"/>
      <c r="D57" s="2"/>
      <c r="E57" s="2"/>
      <c r="F57" s="2"/>
    </row>
    <row r="58" customFormat="false" ht="15" hidden="false" customHeight="false" outlineLevel="0" collapsed="false">
      <c r="A58" s="5" t="s">
        <v>222</v>
      </c>
      <c r="B58" s="17" t="n">
        <f aca="false">IF($B$53&lt;&gt;0,$B$56/$B$53,0)</f>
        <v>-0.0972703755898536</v>
      </c>
      <c r="C58" s="2"/>
      <c r="D58" s="2"/>
      <c r="E58" s="2"/>
      <c r="F58" s="2"/>
    </row>
    <row r="59" customFormat="false" ht="15" hidden="false" customHeight="false" outlineLevel="0" collapsed="false">
      <c r="A59" s="11" t="s">
        <v>223</v>
      </c>
      <c r="B59" s="36" t="str">
        <f aca="false">IF($B$57&gt;=Припущення!$B$42,"Досягає цілі","НИЖЧЕ ЦІЛІ")</f>
        <v>НИЖЧЕ ЦІЛІ</v>
      </c>
      <c r="C59" s="2"/>
      <c r="D59" s="2"/>
      <c r="E59" s="2"/>
      <c r="F59" s="2"/>
    </row>
    <row r="60" customFormat="false" ht="15" hidden="false" customHeight="false" outlineLevel="0" collapsed="false">
      <c r="A60" s="5" t="s">
        <v>224</v>
      </c>
      <c r="B60" s="10" t="n">
        <f aca="false">($B$37*(1-Припущення!$B$42)-($B$53-$B$50-$B$51-Припущення!$B$35*($B$50+$B$51)*(Припущення!$B$37+$B$13)/12))/(1+Припущення!$B$41+Припущення!$B$35*(1+Припущення!$B$41)*(Припущення!$B$37+$B$13)/12)</f>
        <v>-754534.847697474</v>
      </c>
      <c r="C60" s="24" t="s">
        <v>225</v>
      </c>
      <c r="D60" s="2"/>
      <c r="E60" s="2"/>
      <c r="F60" s="2"/>
    </row>
    <row r="61" customFormat="false" ht="15" hidden="false" customHeight="false" outlineLevel="0" collapsed="false">
      <c r="A61" s="11" t="s">
        <v>226</v>
      </c>
      <c r="B61" s="13" t="n">
        <f aca="false">$B$12*$B$56-(1-$B$12)*$B$14</f>
        <v>-854240.859375</v>
      </c>
      <c r="C61" s="2"/>
      <c r="D61" s="2"/>
      <c r="E61" s="2"/>
      <c r="F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</row>
    <row r="63" customFormat="false" ht="15" hidden="false" customHeight="false" outlineLevel="0" collapsed="false">
      <c r="A63" s="21" t="s">
        <v>227</v>
      </c>
      <c r="B63" s="22"/>
      <c r="C63" s="22"/>
      <c r="D63" s="22"/>
      <c r="E63" s="22"/>
      <c r="F63" s="22"/>
    </row>
    <row r="64" customFormat="false" ht="15" hidden="false" customHeight="false" outlineLevel="0" collapsed="false">
      <c r="A64" s="5" t="s">
        <v>228</v>
      </c>
      <c r="B64" s="10" t="n">
        <f aca="false">SUM($B$40:$B$44)</f>
        <v>6895515</v>
      </c>
      <c r="C64" s="2"/>
      <c r="D64" s="2"/>
      <c r="E64" s="2"/>
      <c r="F64" s="2"/>
    </row>
    <row r="65" customFormat="false" ht="15" hidden="false" customHeight="false" outlineLevel="0" collapsed="false">
      <c r="A65" s="5" t="s">
        <v>229</v>
      </c>
      <c r="B65" s="10" t="n">
        <f aca="false">$B$53-$B$64-$B$48</f>
        <v>3025898.4375</v>
      </c>
      <c r="C65" s="2"/>
      <c r="D65" s="2"/>
      <c r="E65" s="2"/>
      <c r="F65" s="2"/>
    </row>
    <row r="66" customFormat="false" ht="15" hidden="false" customHeight="false" outlineLevel="0" collapsed="false">
      <c r="A66" s="5" t="s">
        <v>230</v>
      </c>
      <c r="B66" s="17" t="n">
        <f aca="false">($B$64+$B$65)/($B$37*(1-Припущення!$B$33-Припущення!$B$42))-1</f>
        <v>0.397098573124153</v>
      </c>
      <c r="C66" s="24" t="s">
        <v>231</v>
      </c>
      <c r="D66" s="2"/>
      <c r="E66" s="2"/>
      <c r="F66" s="2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232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233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4" t="s">
        <v>78</v>
      </c>
      <c r="B4" s="4" t="s">
        <v>173</v>
      </c>
      <c r="C4" s="4" t="s">
        <v>174</v>
      </c>
      <c r="D4" s="4" t="s">
        <v>86</v>
      </c>
      <c r="E4" s="4" t="s">
        <v>175</v>
      </c>
      <c r="F4" s="4" t="s">
        <v>176</v>
      </c>
    </row>
    <row r="5" customFormat="false" ht="15" hidden="false" customHeight="false" outlineLevel="0" collapsed="false">
      <c r="A5" s="31" t="str">
        <f aca="false">Припущення!$A$5</f>
        <v>Lake House Compact 61</v>
      </c>
      <c r="B5" s="28" t="n">
        <v>10</v>
      </c>
      <c r="C5" s="32" t="n">
        <f aca="false">B5*Припущення!$B$5</f>
        <v>615</v>
      </c>
      <c r="D5" s="9" t="n">
        <f aca="false">Припущення!$I$5</f>
        <v>300120</v>
      </c>
      <c r="E5" s="10" t="n">
        <f aca="false">B5*D5</f>
        <v>3001200</v>
      </c>
      <c r="F5" s="7" t="n">
        <f aca="false">B5*Припущення!$J$5</f>
        <v>3400</v>
      </c>
    </row>
    <row r="6" customFormat="false" ht="15" hidden="false" customHeight="false" outlineLevel="0" collapsed="false">
      <c r="A6" s="31" t="str">
        <f aca="false">Припущення!$A$6</f>
        <v>Meadow 71</v>
      </c>
      <c r="B6" s="28" t="n">
        <v>8</v>
      </c>
      <c r="C6" s="32" t="n">
        <f aca="false">B6*Припущення!$B$6</f>
        <v>568</v>
      </c>
      <c r="D6" s="9" t="n">
        <f aca="false">Припущення!$I$6</f>
        <v>330150</v>
      </c>
      <c r="E6" s="10" t="n">
        <f aca="false">B6*D6</f>
        <v>2641200</v>
      </c>
      <c r="F6" s="7" t="n">
        <f aca="false">B6*Припущення!$J$6</f>
        <v>2960</v>
      </c>
    </row>
    <row r="7" customFormat="false" ht="15" hidden="false" customHeight="false" outlineLevel="0" collapsed="false">
      <c r="A7" s="31" t="str">
        <f aca="false">Припущення!$A$7</f>
        <v>Country 140</v>
      </c>
      <c r="B7" s="28" t="n">
        <v>7</v>
      </c>
      <c r="C7" s="32" t="n">
        <f aca="false">B7*Припущення!$B$7</f>
        <v>980</v>
      </c>
      <c r="D7" s="9" t="n">
        <f aca="false">Припущення!$I$7</f>
        <v>649600</v>
      </c>
      <c r="E7" s="10" t="n">
        <f aca="false">B7*D7</f>
        <v>4547200</v>
      </c>
      <c r="F7" s="7" t="n">
        <f aca="false">B7*Припущення!$J$7</f>
        <v>3920</v>
      </c>
    </row>
    <row r="8" customFormat="false" ht="15" hidden="false" customHeight="false" outlineLevel="0" collapsed="false">
      <c r="A8" s="11" t="s">
        <v>177</v>
      </c>
      <c r="B8" s="33" t="n">
        <f aca="false">SUM(B5:B7)</f>
        <v>25</v>
      </c>
      <c r="C8" s="34" t="n">
        <f aca="false">SUM(C5:C7)</f>
        <v>2163</v>
      </c>
      <c r="D8" s="35"/>
      <c r="E8" s="13" t="n">
        <f aca="false">SUM(E5:E7)</f>
        <v>10189600</v>
      </c>
      <c r="F8" s="33" t="n">
        <f aca="false">SUM(F5:F7)</f>
        <v>10280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1" t="s">
        <v>178</v>
      </c>
      <c r="B10" s="22"/>
      <c r="C10" s="22"/>
      <c r="D10" s="22"/>
      <c r="E10" s="22"/>
      <c r="F10" s="22"/>
    </row>
    <row r="11" customFormat="false" ht="15" hidden="false" customHeight="false" outlineLevel="0" collapsed="false">
      <c r="A11" s="5" t="s">
        <v>179</v>
      </c>
      <c r="B11" s="28" t="n">
        <v>1</v>
      </c>
      <c r="C11" s="2"/>
      <c r="D11" s="2"/>
      <c r="E11" s="2"/>
      <c r="F11" s="2"/>
    </row>
    <row r="12" customFormat="false" ht="15" hidden="false" customHeight="false" outlineLevel="0" collapsed="false">
      <c r="A12" s="5" t="s">
        <v>180</v>
      </c>
      <c r="B12" s="25" t="n">
        <v>0.45</v>
      </c>
      <c r="C12" s="24" t="s">
        <v>181</v>
      </c>
      <c r="D12" s="2"/>
      <c r="E12" s="2"/>
      <c r="F12" s="2"/>
    </row>
    <row r="13" customFormat="false" ht="15" hidden="false" customHeight="false" outlineLevel="0" collapsed="false">
      <c r="A13" s="5" t="s">
        <v>182</v>
      </c>
      <c r="B13" s="28" t="n">
        <v>12</v>
      </c>
      <c r="C13" s="24" t="s">
        <v>183</v>
      </c>
      <c r="D13" s="2"/>
      <c r="E13" s="2"/>
      <c r="F13" s="2"/>
    </row>
    <row r="14" customFormat="false" ht="15" hidden="false" customHeight="false" outlineLevel="0" collapsed="false">
      <c r="A14" s="5" t="s">
        <v>184</v>
      </c>
      <c r="B14" s="26" t="n">
        <v>250000</v>
      </c>
      <c r="C14" s="24" t="s">
        <v>185</v>
      </c>
      <c r="D14" s="2"/>
      <c r="E14" s="2"/>
      <c r="F14" s="2"/>
    </row>
    <row r="15" customFormat="false" ht="15" hidden="false" customHeight="false" outlineLevel="0" collapsed="false">
      <c r="A15" s="5" t="s">
        <v>186</v>
      </c>
      <c r="B15" s="7" t="n">
        <f aca="false">B8+$B$11*Припущення!$B$49</f>
        <v>29</v>
      </c>
      <c r="C15" s="24" t="s">
        <v>187</v>
      </c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21" t="s">
        <v>188</v>
      </c>
      <c r="B17" s="22"/>
      <c r="C17" s="22"/>
      <c r="D17" s="22"/>
      <c r="E17" s="22"/>
      <c r="F17" s="22"/>
    </row>
    <row r="18" customFormat="false" ht="15" hidden="false" customHeight="false" outlineLevel="0" collapsed="false">
      <c r="A18" s="5" t="s">
        <v>189</v>
      </c>
      <c r="B18" s="7" t="n">
        <f aca="false">F8</f>
        <v>10280</v>
      </c>
      <c r="C18" s="2"/>
      <c r="D18" s="2"/>
      <c r="E18" s="2"/>
      <c r="F18" s="2"/>
    </row>
    <row r="19" customFormat="false" ht="15" hidden="false" customHeight="false" outlineLevel="0" collapsed="false">
      <c r="A19" s="5" t="s">
        <v>190</v>
      </c>
      <c r="B19" s="6" t="n">
        <f aca="false">Припущення!$B$12*Припущення!$B$13</f>
        <v>2564.1</v>
      </c>
      <c r="C19" s="2"/>
      <c r="D19" s="2"/>
      <c r="E19" s="2"/>
      <c r="F19" s="2"/>
    </row>
    <row r="20" customFormat="false" ht="15" hidden="false" customHeight="false" outlineLevel="0" collapsed="false">
      <c r="A20" s="5" t="s">
        <v>191</v>
      </c>
      <c r="B20" s="6" t="n">
        <f aca="false">Припущення!$B$12*Припущення!$B$14</f>
        <v>1424.5</v>
      </c>
      <c r="C20" s="2"/>
      <c r="D20" s="2"/>
      <c r="E20" s="2"/>
      <c r="F20" s="2"/>
    </row>
    <row r="21" customFormat="false" ht="15" hidden="false" customHeight="false" outlineLevel="0" collapsed="false">
      <c r="A21" s="5" t="s">
        <v>192</v>
      </c>
      <c r="B21" s="6" t="n">
        <f aca="false">Припущення!$B$12*Припущення!$B$15</f>
        <v>854.7</v>
      </c>
      <c r="C21" s="2"/>
      <c r="D21" s="2"/>
      <c r="E21" s="2"/>
      <c r="F21" s="2"/>
    </row>
    <row r="22" customFormat="false" ht="15" hidden="false" customHeight="false" outlineLevel="0" collapsed="false">
      <c r="A22" s="5" t="s">
        <v>193</v>
      </c>
      <c r="B22" s="7" t="n">
        <f aca="false">$B$11*Припущення!$B$16</f>
        <v>900</v>
      </c>
      <c r="C22" s="2"/>
      <c r="D22" s="2"/>
      <c r="E22" s="2"/>
      <c r="F22" s="2"/>
    </row>
    <row r="23" customFormat="false" ht="15" hidden="false" customHeight="false" outlineLevel="0" collapsed="false">
      <c r="A23" s="11" t="s">
        <v>194</v>
      </c>
      <c r="B23" s="33" t="n">
        <f aca="false">SUM($B$18:$B$22)</f>
        <v>16023.3</v>
      </c>
      <c r="C23" s="2"/>
      <c r="D23" s="2"/>
      <c r="E23" s="2"/>
      <c r="F23" s="2"/>
    </row>
    <row r="24" customFormat="false" ht="15" hidden="false" customHeight="false" outlineLevel="0" collapsed="false">
      <c r="A24" s="5" t="s">
        <v>195</v>
      </c>
      <c r="B24" s="6" t="n">
        <f aca="false">Припущення!$B$12</f>
        <v>14245</v>
      </c>
      <c r="C24" s="2"/>
      <c r="D24" s="2"/>
      <c r="E24" s="2"/>
      <c r="F24" s="2"/>
    </row>
    <row r="25" customFormat="false" ht="15" hidden="false" customHeight="false" outlineLevel="0" collapsed="false">
      <c r="A25" s="11" t="s">
        <v>196</v>
      </c>
      <c r="B25" s="33" t="n">
        <f aca="false">$B$24-$B$23</f>
        <v>-1778.3</v>
      </c>
      <c r="C25" s="2"/>
      <c r="D25" s="2"/>
      <c r="E25" s="2"/>
      <c r="F25" s="2"/>
    </row>
    <row r="26" customFormat="false" ht="15" hidden="false" customHeight="false" outlineLevel="0" collapsed="false">
      <c r="A26" s="11" t="s">
        <v>197</v>
      </c>
      <c r="B26" s="36" t="str">
        <f aca="false">IF($B$25&gt;=0,"Вміщується","НЕ ВМІЩУЄТЬСЯ")</f>
        <v>НЕ ВМІЩУЄТЬСЯ</v>
      </c>
      <c r="C26" s="2"/>
      <c r="D26" s="2"/>
      <c r="E26" s="2"/>
      <c r="F26" s="2"/>
    </row>
    <row r="27" customFormat="false" ht="15" hidden="false" customHeight="false" outlineLevel="0" collapsed="false">
      <c r="A27" s="5" t="s">
        <v>9</v>
      </c>
      <c r="B27" s="7" t="n">
        <f aca="false">IF(B8&gt;0,F8/B8,0)</f>
        <v>411.2</v>
      </c>
      <c r="C27" s="2"/>
      <c r="D27" s="2"/>
      <c r="E27" s="2"/>
      <c r="F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1" t="s">
        <v>198</v>
      </c>
      <c r="B29" s="22"/>
      <c r="C29" s="22"/>
      <c r="D29" s="22"/>
      <c r="E29" s="22"/>
      <c r="F29" s="22"/>
    </row>
    <row r="30" customFormat="false" ht="15" hidden="false" customHeight="false" outlineLevel="0" collapsed="false">
      <c r="A30" s="5" t="s">
        <v>199</v>
      </c>
      <c r="B30" s="10" t="n">
        <f aca="false">E8</f>
        <v>10189600</v>
      </c>
      <c r="C30" s="2"/>
      <c r="D30" s="2"/>
      <c r="E30" s="2"/>
      <c r="F30" s="2"/>
    </row>
    <row r="31" customFormat="false" ht="15" hidden="false" customHeight="false" outlineLevel="0" collapsed="false">
      <c r="A31" s="5" t="s">
        <v>200</v>
      </c>
      <c r="B31" s="7" t="n">
        <f aca="false">ROUNDUP($B$15*Припущення!$B$19,0)</f>
        <v>9</v>
      </c>
      <c r="C31" s="24" t="s">
        <v>201</v>
      </c>
      <c r="D31" s="2"/>
      <c r="E31" s="2"/>
      <c r="F31" s="2"/>
    </row>
    <row r="32" customFormat="false" ht="15" hidden="false" customHeight="false" outlineLevel="0" collapsed="false">
      <c r="A32" s="5" t="s">
        <v>202</v>
      </c>
      <c r="B32" s="7" t="n">
        <f aca="false">MIN($B$31,B6)</f>
        <v>8</v>
      </c>
      <c r="C32" s="2"/>
      <c r="D32" s="2"/>
      <c r="E32" s="2"/>
      <c r="F32" s="2"/>
    </row>
    <row r="33" customFormat="false" ht="15" hidden="false" customHeight="false" outlineLevel="0" collapsed="false">
      <c r="A33" s="5" t="s">
        <v>203</v>
      </c>
      <c r="B33" s="37" t="str">
        <f aca="false">IF($B$32&lt;$B$31,"Meadow замало — потрібні інші типи","OK")</f>
        <v>Meadow замало — потрібні інші типи</v>
      </c>
      <c r="C33" s="2"/>
      <c r="D33" s="2"/>
      <c r="E33" s="2"/>
      <c r="F33" s="2"/>
    </row>
    <row r="34" customFormat="false" ht="15" hidden="false" customHeight="false" outlineLevel="0" collapsed="false">
      <c r="A34" s="5" t="s">
        <v>204</v>
      </c>
      <c r="B34" s="10" t="n">
        <f aca="false">-$B$31*D6*(1-Припущення!$B$20)</f>
        <v>-1188540</v>
      </c>
      <c r="C34" s="24" t="s">
        <v>205</v>
      </c>
      <c r="D34" s="2"/>
      <c r="E34" s="2"/>
      <c r="F34" s="2"/>
    </row>
    <row r="35" customFormat="false" ht="15" hidden="false" customHeight="false" outlineLevel="0" collapsed="false">
      <c r="A35" s="5" t="s">
        <v>206</v>
      </c>
      <c r="B35" s="10" t="n">
        <f aca="false">$B$11*Припущення!$B$46*Припущення!$B$47/Припущення!$B$48</f>
        <v>350000</v>
      </c>
      <c r="C35" s="2"/>
      <c r="D35" s="2"/>
      <c r="E35" s="2"/>
      <c r="F35" s="2"/>
    </row>
    <row r="36" customFormat="false" ht="15" hidden="false" customHeight="false" outlineLevel="0" collapsed="false">
      <c r="A36" s="5" t="s">
        <v>207</v>
      </c>
      <c r="B36" s="10" t="n">
        <f aca="false">$B$11*Припущення!$B$49*Припущення!$B$50</f>
        <v>880000</v>
      </c>
      <c r="C36" s="2"/>
      <c r="D36" s="2"/>
      <c r="E36" s="2"/>
      <c r="F36" s="2"/>
    </row>
    <row r="37" customFormat="false" ht="15" hidden="false" customHeight="false" outlineLevel="0" collapsed="false">
      <c r="A37" s="11" t="s">
        <v>208</v>
      </c>
      <c r="B37" s="13" t="n">
        <f aca="false">SUM($B$30,$B$34,$B$35,$B$36)</f>
        <v>10231060</v>
      </c>
      <c r="C37" s="2"/>
      <c r="D37" s="2"/>
      <c r="E37" s="2"/>
      <c r="F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</row>
    <row r="39" customFormat="false" ht="15" hidden="false" customHeight="false" outlineLevel="0" collapsed="false">
      <c r="A39" s="21" t="s">
        <v>209</v>
      </c>
      <c r="B39" s="22"/>
      <c r="C39" s="22"/>
      <c r="D39" s="22"/>
      <c r="E39" s="22"/>
      <c r="F39" s="22"/>
    </row>
    <row r="40" customFormat="false" ht="15" hidden="false" customHeight="false" outlineLevel="0" collapsed="false">
      <c r="A40" s="5" t="s">
        <v>117</v>
      </c>
      <c r="B40" s="10" t="n">
        <f aca="false">C8*Припущення!$B$23</f>
        <v>5191200</v>
      </c>
      <c r="C40" s="2"/>
      <c r="D40" s="2"/>
      <c r="E40" s="2"/>
      <c r="F40" s="2"/>
    </row>
    <row r="41" customFormat="false" ht="15" hidden="false" customHeight="false" outlineLevel="0" collapsed="false">
      <c r="A41" s="5" t="s">
        <v>210</v>
      </c>
      <c r="B41" s="10" t="n">
        <f aca="false">$B$11*Припущення!$B$45*Припущення!$B$24</f>
        <v>1050000</v>
      </c>
      <c r="C41" s="2"/>
      <c r="D41" s="2"/>
      <c r="E41" s="2"/>
      <c r="F41" s="2"/>
    </row>
    <row r="42" customFormat="false" ht="15" hidden="false" customHeight="false" outlineLevel="0" collapsed="false">
      <c r="A42" s="5" t="s">
        <v>122</v>
      </c>
      <c r="B42" s="10" t="n">
        <f aca="false">($B$40+$B$41)*Припущення!$B$25</f>
        <v>936180</v>
      </c>
      <c r="C42" s="2"/>
      <c r="D42" s="2"/>
      <c r="E42" s="2"/>
      <c r="F42" s="2"/>
    </row>
    <row r="43" customFormat="false" ht="15" hidden="false" customHeight="false" outlineLevel="0" collapsed="false">
      <c r="A43" s="5" t="s">
        <v>211</v>
      </c>
      <c r="B43" s="10" t="n">
        <f aca="false">($B$40+$B$41+$B$42)*Припущення!$B$26</f>
        <v>358869</v>
      </c>
      <c r="C43" s="2"/>
      <c r="D43" s="2"/>
      <c r="E43" s="2"/>
      <c r="F43" s="2"/>
    </row>
    <row r="44" customFormat="false" ht="15" hidden="false" customHeight="false" outlineLevel="0" collapsed="false">
      <c r="A44" s="5" t="s">
        <v>128</v>
      </c>
      <c r="B44" s="10" t="n">
        <f aca="false">($B$40+$B$41+$B$42)*Припущення!$B$27</f>
        <v>717738</v>
      </c>
      <c r="C44" s="2"/>
      <c r="D44" s="2"/>
      <c r="E44" s="2"/>
      <c r="F44" s="2"/>
    </row>
    <row r="45" customFormat="false" ht="15" hidden="false" customHeight="false" outlineLevel="0" collapsed="false">
      <c r="A45" s="5" t="s">
        <v>212</v>
      </c>
      <c r="B45" s="10" t="n">
        <f aca="false">$B$15*Припущення!$B$28</f>
        <v>435000</v>
      </c>
      <c r="C45" s="2"/>
      <c r="D45" s="2"/>
      <c r="E45" s="2"/>
      <c r="F45" s="2"/>
    </row>
    <row r="46" customFormat="false" ht="15" hidden="false" customHeight="false" outlineLevel="0" collapsed="false">
      <c r="A46" s="5" t="s">
        <v>213</v>
      </c>
      <c r="B46" s="10" t="n">
        <f aca="false">$B$15*Припущення!$B$29</f>
        <v>4640</v>
      </c>
      <c r="C46" s="2"/>
      <c r="D46" s="2"/>
      <c r="E46" s="2"/>
      <c r="F46" s="2"/>
    </row>
    <row r="47" customFormat="false" ht="15" hidden="false" customHeight="false" outlineLevel="0" collapsed="false">
      <c r="A47" s="5" t="s">
        <v>214</v>
      </c>
      <c r="B47" s="9" t="n">
        <f aca="false">Припущення!$B$30</f>
        <v>50000</v>
      </c>
      <c r="C47" s="2"/>
      <c r="D47" s="2"/>
      <c r="E47" s="2"/>
      <c r="F47" s="2"/>
    </row>
    <row r="48" customFormat="false" ht="15" hidden="false" customHeight="false" outlineLevel="0" collapsed="false">
      <c r="A48" s="5" t="s">
        <v>137</v>
      </c>
      <c r="B48" s="10" t="n">
        <f aca="false">$B$37*Припущення!$B$33</f>
        <v>255776.5</v>
      </c>
      <c r="C48" s="2"/>
      <c r="D48" s="2"/>
      <c r="E48" s="2"/>
      <c r="F48" s="2"/>
    </row>
    <row r="49" customFormat="false" ht="15" hidden="false" customHeight="false" outlineLevel="0" collapsed="false">
      <c r="A49" s="5" t="s">
        <v>215</v>
      </c>
      <c r="B49" s="10" t="n">
        <f aca="false">$B$15*Припущення!$B$34</f>
        <v>43500</v>
      </c>
      <c r="C49" s="2"/>
      <c r="D49" s="2"/>
      <c r="E49" s="2"/>
      <c r="F49" s="2"/>
    </row>
    <row r="50" customFormat="false" ht="15" hidden="false" customHeight="false" outlineLevel="0" collapsed="false">
      <c r="A50" s="5" t="s">
        <v>216</v>
      </c>
      <c r="B50" s="9" t="n">
        <f aca="false">Припущення!$B$40</f>
        <v>1500000</v>
      </c>
      <c r="C50" s="2"/>
      <c r="D50" s="2"/>
      <c r="E50" s="2"/>
      <c r="F50" s="2"/>
    </row>
    <row r="51" customFormat="false" ht="15" hidden="false" customHeight="false" outlineLevel="0" collapsed="false">
      <c r="A51" s="5" t="s">
        <v>151</v>
      </c>
      <c r="B51" s="10" t="n">
        <f aca="false">$B$50*Припущення!$B$41</f>
        <v>90000</v>
      </c>
      <c r="C51" s="2"/>
      <c r="D51" s="2"/>
      <c r="E51" s="2"/>
      <c r="F51" s="2"/>
    </row>
    <row r="52" customFormat="false" ht="15" hidden="false" customHeight="false" outlineLevel="0" collapsed="false">
      <c r="A52" s="5" t="s">
        <v>217</v>
      </c>
      <c r="B52" s="10" t="n">
        <f aca="false">Припущення!$B$35*(Припущення!$B$36*SUM($B$40:$B$49)*Припущення!$B$37/12+($B$50+$B$51)*(Припущення!$B$37+$B$13)/12)</f>
        <v>1243161.315</v>
      </c>
      <c r="C52" s="24" t="s">
        <v>218</v>
      </c>
      <c r="D52" s="2"/>
      <c r="E52" s="2"/>
      <c r="F52" s="2"/>
    </row>
    <row r="53" customFormat="false" ht="15" hidden="false" customHeight="false" outlineLevel="0" collapsed="false">
      <c r="A53" s="11" t="s">
        <v>219</v>
      </c>
      <c r="B53" s="13" t="n">
        <f aca="false">SUM($B$40:$B$52)</f>
        <v>11876064.815</v>
      </c>
      <c r="C53" s="2"/>
      <c r="D53" s="2"/>
      <c r="E53" s="2"/>
      <c r="F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</row>
    <row r="55" customFormat="false" ht="15" hidden="false" customHeight="false" outlineLevel="0" collapsed="false">
      <c r="A55" s="21" t="s">
        <v>220</v>
      </c>
      <c r="B55" s="22"/>
      <c r="C55" s="22"/>
      <c r="D55" s="22"/>
      <c r="E55" s="22"/>
      <c r="F55" s="22"/>
    </row>
    <row r="56" customFormat="false" ht="15" hidden="false" customHeight="false" outlineLevel="0" collapsed="false">
      <c r="A56" s="11" t="s">
        <v>221</v>
      </c>
      <c r="B56" s="13" t="n">
        <f aca="false">$B$37-$B$53</f>
        <v>-1645004.815</v>
      </c>
      <c r="C56" s="2"/>
      <c r="D56" s="2"/>
      <c r="E56" s="2"/>
      <c r="F56" s="2"/>
    </row>
    <row r="57" customFormat="false" ht="15" hidden="false" customHeight="false" outlineLevel="0" collapsed="false">
      <c r="A57" s="11" t="s">
        <v>14</v>
      </c>
      <c r="B57" s="15" t="n">
        <f aca="false">IF($B$37&lt;&gt;0,$B$56/$B$37,0)</f>
        <v>-0.160785374633713</v>
      </c>
      <c r="C57" s="2"/>
      <c r="D57" s="2"/>
      <c r="E57" s="2"/>
      <c r="F57" s="2"/>
    </row>
    <row r="58" customFormat="false" ht="15" hidden="false" customHeight="false" outlineLevel="0" collapsed="false">
      <c r="A58" s="5" t="s">
        <v>222</v>
      </c>
      <c r="B58" s="17" t="n">
        <f aca="false">IF($B$53&lt;&gt;0,$B$56/$B$53,0)</f>
        <v>-0.138514300875344</v>
      </c>
      <c r="C58" s="2"/>
      <c r="D58" s="2"/>
      <c r="E58" s="2"/>
      <c r="F58" s="2"/>
    </row>
    <row r="59" customFormat="false" ht="15" hidden="false" customHeight="false" outlineLevel="0" collapsed="false">
      <c r="A59" s="11" t="s">
        <v>223</v>
      </c>
      <c r="B59" s="36" t="str">
        <f aca="false">IF($B$57&gt;=Припущення!$B$42,"Досягає цілі","НИЖЧЕ ЦІЛІ")</f>
        <v>НИЖЧЕ ЦІЛІ</v>
      </c>
      <c r="C59" s="2"/>
      <c r="D59" s="2"/>
      <c r="E59" s="2"/>
      <c r="F59" s="2"/>
    </row>
    <row r="60" customFormat="false" ht="15" hidden="false" customHeight="false" outlineLevel="0" collapsed="false">
      <c r="A60" s="5" t="s">
        <v>224</v>
      </c>
      <c r="B60" s="10" t="n">
        <f aca="false">($B$37*(1-Припущення!$B$42)-($B$53-$B$50-$B$51-Припущення!$B$35*($B$50+$B$51)*(Припущення!$B$37+$B$13)/12))/(1+Припущення!$B$41+Припущення!$B$35*(1+Припущення!$B$41)*(Припущення!$B$37+$B$13)/12)</f>
        <v>-1241952.76704799</v>
      </c>
      <c r="C60" s="24" t="s">
        <v>225</v>
      </c>
      <c r="D60" s="2"/>
      <c r="E60" s="2"/>
      <c r="F60" s="2"/>
    </row>
    <row r="61" customFormat="false" ht="15" hidden="false" customHeight="false" outlineLevel="0" collapsed="false">
      <c r="A61" s="11" t="s">
        <v>226</v>
      </c>
      <c r="B61" s="13" t="n">
        <f aca="false">$B$12*$B$56-(1-$B$12)*$B$14</f>
        <v>-877752.16675</v>
      </c>
      <c r="C61" s="2"/>
      <c r="D61" s="2"/>
      <c r="E61" s="2"/>
      <c r="F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</row>
    <row r="63" customFormat="false" ht="15" hidden="false" customHeight="false" outlineLevel="0" collapsed="false">
      <c r="A63" s="21" t="s">
        <v>227</v>
      </c>
      <c r="B63" s="22"/>
      <c r="C63" s="22"/>
      <c r="D63" s="22"/>
      <c r="E63" s="22"/>
      <c r="F63" s="22"/>
    </row>
    <row r="64" customFormat="false" ht="15" hidden="false" customHeight="false" outlineLevel="0" collapsed="false">
      <c r="A64" s="5" t="s">
        <v>228</v>
      </c>
      <c r="B64" s="10" t="n">
        <f aca="false">SUM($B$40:$B$44)</f>
        <v>8253987</v>
      </c>
      <c r="C64" s="2"/>
      <c r="D64" s="2"/>
      <c r="E64" s="2"/>
      <c r="F64" s="2"/>
    </row>
    <row r="65" customFormat="false" ht="15" hidden="false" customHeight="false" outlineLevel="0" collapsed="false">
      <c r="A65" s="5" t="s">
        <v>229</v>
      </c>
      <c r="B65" s="10" t="n">
        <f aca="false">$B$53-$B$64-$B$48</f>
        <v>3366301.315</v>
      </c>
      <c r="C65" s="2"/>
      <c r="D65" s="2"/>
      <c r="E65" s="2"/>
      <c r="F65" s="2"/>
    </row>
    <row r="66" customFormat="false" ht="15" hidden="false" customHeight="false" outlineLevel="0" collapsed="false">
      <c r="A66" s="5" t="s">
        <v>230</v>
      </c>
      <c r="B66" s="17" t="n">
        <f aca="false">($B$64+$B$65)/($B$37*(1-Припущення!$B$33-Припущення!$B$42))-1</f>
        <v>0.465529515656405</v>
      </c>
      <c r="C66" s="24" t="s">
        <v>231</v>
      </c>
      <c r="D66" s="2"/>
      <c r="E66" s="2"/>
      <c r="F66" s="2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2026-10-21T07:08:36Z</dcterms:created>
  <dc:creator>openpyxl</dc:creator>
  <dc:description/>
  <dc:language>en-US</dc:language>
  <cp:lastModifiedBy/>
  <dcterms:modified xsi:type="dcterms:W3CDTF">2026-10-21T07:08:36Z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